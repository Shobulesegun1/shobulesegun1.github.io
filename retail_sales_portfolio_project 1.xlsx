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/>
  <xr:revisionPtr revIDLastSave="0" documentId="8_{99A0AD05-F2CE-4439-AD2C-D94717AD0CDA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Raw_Data" sheetId="1" r:id="rId1"/>
    <sheet name="Dashboard" sheetId="4" r:id="rId2"/>
    <sheet name="Pivot_table" sheetId="3" r:id="rId3"/>
  </sheets>
  <definedNames>
    <definedName name="Slicer_Category">#N/A</definedName>
    <definedName name="Slicer_City">#N/A</definedName>
    <definedName name="Slicer_Month">#N/A</definedName>
    <definedName name="Slicer_Payment_method">#N/A</definedName>
  </definedNames>
  <calcPr calcId="191028"/>
  <pivotCaches>
    <pivotCache cacheId="13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3" l="1" a="1"/>
  <c r="J20" i="3"/>
  <c r="J32" i="3" s="1"/>
  <c r="J33" i="3" s="1"/>
  <c r="D20" i="3" a="1"/>
  <c r="D20" i="3"/>
  <c r="D32" i="3" s="1"/>
  <c r="D33" i="3" s="1"/>
  <c r="J4" i="3" a="1"/>
  <c r="J4" i="3"/>
  <c r="J8" i="3" s="1"/>
  <c r="J9" i="3" s="1"/>
  <c r="D4" i="3" a="1"/>
  <c r="D4" i="3"/>
  <c r="D10" i="3" s="1"/>
  <c r="D11" i="3" s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3" i="1"/>
  <c r="P4" i="1"/>
  <c r="P5" i="1"/>
  <c r="P6" i="1"/>
  <c r="P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<sst xmlns="http://schemas.openxmlformats.org/spreadsheetml/2006/main" count="1754" uniqueCount="462">
  <si>
    <t>Order_date</t>
  </si>
  <si>
    <t>Order_ID</t>
  </si>
  <si>
    <t>Customer_order</t>
  </si>
  <si>
    <t>Cusstomer_name</t>
  </si>
  <si>
    <t>City</t>
  </si>
  <si>
    <t>Product_ID</t>
  </si>
  <si>
    <t>Product_name</t>
  </si>
  <si>
    <t>Category</t>
  </si>
  <si>
    <t>Quantity</t>
  </si>
  <si>
    <t>Unit_price</t>
  </si>
  <si>
    <t>Unit_cost</t>
  </si>
  <si>
    <t>Total_sales</t>
  </si>
  <si>
    <t>Total_cost</t>
  </si>
  <si>
    <t>Profit</t>
  </si>
  <si>
    <t>Payment_method</t>
  </si>
  <si>
    <t>Month</t>
  </si>
  <si>
    <t>05/02/2026</t>
  </si>
  <si>
    <t>ORD0001</t>
  </si>
  <si>
    <t>CUST070</t>
  </si>
  <si>
    <t>Customer_12</t>
  </si>
  <si>
    <t>Abuja</t>
  </si>
  <si>
    <t>P019</t>
  </si>
  <si>
    <t>Brake Pads</t>
  </si>
  <si>
    <t>Automotive Components</t>
  </si>
  <si>
    <t>Card</t>
  </si>
  <si>
    <t>10/05/2026</t>
  </si>
  <si>
    <t>ORD0002</t>
  </si>
  <si>
    <t>CUST026</t>
  </si>
  <si>
    <t>Customer_70</t>
  </si>
  <si>
    <t>P014</t>
  </si>
  <si>
    <t>Printer Paper</t>
  </si>
  <si>
    <t>Office Supplies</t>
  </si>
  <si>
    <t>10/02/2026</t>
  </si>
  <si>
    <t>ORD0003</t>
  </si>
  <si>
    <t>CUST036</t>
  </si>
  <si>
    <t>Customer_20</t>
  </si>
  <si>
    <t>Lagos</t>
  </si>
  <si>
    <t>P007</t>
  </si>
  <si>
    <t>Phone</t>
  </si>
  <si>
    <t>Electronics</t>
  </si>
  <si>
    <t>Transfer</t>
  </si>
  <si>
    <t>ORD0004</t>
  </si>
  <si>
    <t>CUST059</t>
  </si>
  <si>
    <t>Customer_69</t>
  </si>
  <si>
    <t>Port Harcourt</t>
  </si>
  <si>
    <t>P004</t>
  </si>
  <si>
    <t>Rice</t>
  </si>
  <si>
    <t>Groceries</t>
  </si>
  <si>
    <t>Cash</t>
  </si>
  <si>
    <t>08/06/2026</t>
  </si>
  <si>
    <t>ORD0005</t>
  </si>
  <si>
    <t>CUST025</t>
  </si>
  <si>
    <t>Customer_9</t>
  </si>
  <si>
    <t>Ibadan</t>
  </si>
  <si>
    <t>P002</t>
  </si>
  <si>
    <t>08/04/2026</t>
  </si>
  <si>
    <t>ORD0006</t>
  </si>
  <si>
    <t>CUST047</t>
  </si>
  <si>
    <t>Customer_21</t>
  </si>
  <si>
    <t>P012</t>
  </si>
  <si>
    <t>ORD0007</t>
  </si>
  <si>
    <t>CUST022</t>
  </si>
  <si>
    <t>P008</t>
  </si>
  <si>
    <t>ORD0008</t>
  </si>
  <si>
    <t>CUST042</t>
  </si>
  <si>
    <t>Customer_8</t>
  </si>
  <si>
    <t>ORD0009</t>
  </si>
  <si>
    <t>CUST028</t>
  </si>
  <si>
    <t>Customer_64</t>
  </si>
  <si>
    <t>P013</t>
  </si>
  <si>
    <t>Car Battery</t>
  </si>
  <si>
    <t>ORD0010</t>
  </si>
  <si>
    <t>CUST055</t>
  </si>
  <si>
    <t>Customer_52</t>
  </si>
  <si>
    <t>ORD0011</t>
  </si>
  <si>
    <t>Laptop</t>
  </si>
  <si>
    <t>03/01/2026</t>
  </si>
  <si>
    <t>ORD0012</t>
  </si>
  <si>
    <t>CUST069</t>
  </si>
  <si>
    <t>Customer_35</t>
  </si>
  <si>
    <t>Jos</t>
  </si>
  <si>
    <t>P011</t>
  </si>
  <si>
    <t>Stapler</t>
  </si>
  <si>
    <t>09/03/2026</t>
  </si>
  <si>
    <t>ORD0013</t>
  </si>
  <si>
    <t>CUST065</t>
  </si>
  <si>
    <t>Customer_14</t>
  </si>
  <si>
    <t>P010</t>
  </si>
  <si>
    <t>ORD0014</t>
  </si>
  <si>
    <t>Customer_63</t>
  </si>
  <si>
    <t>P001</t>
  </si>
  <si>
    <t>03/03/2026</t>
  </si>
  <si>
    <t>ORD0015</t>
  </si>
  <si>
    <t>CUST011</t>
  </si>
  <si>
    <t>Customer_11</t>
  </si>
  <si>
    <t>P016</t>
  </si>
  <si>
    <t>02/05/2026</t>
  </si>
  <si>
    <t>ORD0016</t>
  </si>
  <si>
    <t>CUST034</t>
  </si>
  <si>
    <t>Customer_68</t>
  </si>
  <si>
    <t>P020</t>
  </si>
  <si>
    <t>Engine Oil</t>
  </si>
  <si>
    <t>ORD0017</t>
  </si>
  <si>
    <t>CUST052</t>
  </si>
  <si>
    <t>Customer_48</t>
  </si>
  <si>
    <t>P015</t>
  </si>
  <si>
    <t>06/01/2026</t>
  </si>
  <si>
    <t>ORD0018</t>
  </si>
  <si>
    <t>CUST029</t>
  </si>
  <si>
    <t>Customer_1</t>
  </si>
  <si>
    <t>P003</t>
  </si>
  <si>
    <t>ORD0019</t>
  </si>
  <si>
    <t>CUST063</t>
  </si>
  <si>
    <t>Customer_28</t>
  </si>
  <si>
    <t>P018</t>
  </si>
  <si>
    <t>ORD0020</t>
  </si>
  <si>
    <t>CUST053</t>
  </si>
  <si>
    <t>Customer_25</t>
  </si>
  <si>
    <t>Headphones</t>
  </si>
  <si>
    <t>ORD0021</t>
  </si>
  <si>
    <t>CUST013</t>
  </si>
  <si>
    <t>Kano</t>
  </si>
  <si>
    <t>ORD0022</t>
  </si>
  <si>
    <t>Customer_60</t>
  </si>
  <si>
    <t>ORD0023</t>
  </si>
  <si>
    <t>CUST002</t>
  </si>
  <si>
    <t>ORD0024</t>
  </si>
  <si>
    <t>CUST050</t>
  </si>
  <si>
    <t>Customer_34</t>
  </si>
  <si>
    <t>ORD0025</t>
  </si>
  <si>
    <t>Customer_38</t>
  </si>
  <si>
    <t>Beans</t>
  </si>
  <si>
    <t>ORD0026</t>
  </si>
  <si>
    <t>CUST062</t>
  </si>
  <si>
    <t>Customer_65</t>
  </si>
  <si>
    <t>P017</t>
  </si>
  <si>
    <t>ORD0027</t>
  </si>
  <si>
    <t>CUST031</t>
  </si>
  <si>
    <t>ORD0028</t>
  </si>
  <si>
    <t>CUST067</t>
  </si>
  <si>
    <t>Customer_41</t>
  </si>
  <si>
    <t>P009</t>
  </si>
  <si>
    <t>12/04/2026</t>
  </si>
  <si>
    <t>ORD0029</t>
  </si>
  <si>
    <t>CUST039</t>
  </si>
  <si>
    <t>Customer_59</t>
  </si>
  <si>
    <t>ORD0030</t>
  </si>
  <si>
    <t>P005</t>
  </si>
  <si>
    <t>ORD0031</t>
  </si>
  <si>
    <t>ORD0032</t>
  </si>
  <si>
    <t>CUST020</t>
  </si>
  <si>
    <t>Cooking Oil</t>
  </si>
  <si>
    <t>ORD0033</t>
  </si>
  <si>
    <t>CUST007</t>
  </si>
  <si>
    <t>ORD0034</t>
  </si>
  <si>
    <t>CUST057</t>
  </si>
  <si>
    <t>Customer_55</t>
  </si>
  <si>
    <t>08/02/2026</t>
  </si>
  <si>
    <t>ORD0035</t>
  </si>
  <si>
    <t>CUST019</t>
  </si>
  <si>
    <t>Customer_56</t>
  </si>
  <si>
    <t>02/04/2026</t>
  </si>
  <si>
    <t>ORD0036</t>
  </si>
  <si>
    <t>CUST014</t>
  </si>
  <si>
    <t>Customer_46</t>
  </si>
  <si>
    <t>11/02/2026</t>
  </si>
  <si>
    <t>ORD0037</t>
  </si>
  <si>
    <t>Customer_4</t>
  </si>
  <si>
    <t>P006</t>
  </si>
  <si>
    <t>05/03/2026</t>
  </si>
  <si>
    <t>ORD0038</t>
  </si>
  <si>
    <t>Customer_49</t>
  </si>
  <si>
    <t>ORD0039</t>
  </si>
  <si>
    <t>ORD0040</t>
  </si>
  <si>
    <t>Customer_43</t>
  </si>
  <si>
    <t>Ink Cartridge</t>
  </si>
  <si>
    <t>10/01/2026</t>
  </si>
  <si>
    <t>ORD0041</t>
  </si>
  <si>
    <t>CUST045</t>
  </si>
  <si>
    <t>12/01/2026</t>
  </si>
  <si>
    <t>ORD0042</t>
  </si>
  <si>
    <t>09/06/2026</t>
  </si>
  <si>
    <t>ORD0043</t>
  </si>
  <si>
    <t>02/02/2026</t>
  </si>
  <si>
    <t>ORD0044</t>
  </si>
  <si>
    <t>CUST049</t>
  </si>
  <si>
    <t>Customer_23</t>
  </si>
  <si>
    <t>ORD0045</t>
  </si>
  <si>
    <t>ORD0046</t>
  </si>
  <si>
    <t>CUST066</t>
  </si>
  <si>
    <t>07/02/2026</t>
  </si>
  <si>
    <t>ORD0047</t>
  </si>
  <si>
    <t>CUST032</t>
  </si>
  <si>
    <t>Customer_61</t>
  </si>
  <si>
    <t>ORD0048</t>
  </si>
  <si>
    <t>CUST064</t>
  </si>
  <si>
    <t>ORD0049</t>
  </si>
  <si>
    <t>ORD0050</t>
  </si>
  <si>
    <t>CUST041</t>
  </si>
  <si>
    <t>Customer_57</t>
  </si>
  <si>
    <t>ORD0051</t>
  </si>
  <si>
    <t>Customer_67</t>
  </si>
  <si>
    <t>02/03/2026</t>
  </si>
  <si>
    <t>ORD0052</t>
  </si>
  <si>
    <t>ORD0053</t>
  </si>
  <si>
    <t>CUST043</t>
  </si>
  <si>
    <t>ORD0054</t>
  </si>
  <si>
    <t>Customer_62</t>
  </si>
  <si>
    <t>ORD0055</t>
  </si>
  <si>
    <t>ORD0056</t>
  </si>
  <si>
    <t>port harcourt</t>
  </si>
  <si>
    <t>ORD0057</t>
  </si>
  <si>
    <t>CUST060</t>
  </si>
  <si>
    <t>Customer_24</t>
  </si>
  <si>
    <t>ORD0058</t>
  </si>
  <si>
    <t>Customer_54</t>
  </si>
  <si>
    <t>ORD0059</t>
  </si>
  <si>
    <t>CUST006</t>
  </si>
  <si>
    <t>ORD0060</t>
  </si>
  <si>
    <t>ORD0061</t>
  </si>
  <si>
    <t>CUST040</t>
  </si>
  <si>
    <t>ORD0062</t>
  </si>
  <si>
    <t>CUST010</t>
  </si>
  <si>
    <t>Customer_32</t>
  </si>
  <si>
    <t>11/01/2026</t>
  </si>
  <si>
    <t>ORD0063</t>
  </si>
  <si>
    <t>CUST048</t>
  </si>
  <si>
    <t>ORD0064</t>
  </si>
  <si>
    <t>07/06/2026</t>
  </si>
  <si>
    <t>ORD0065</t>
  </si>
  <si>
    <t>ORD0066</t>
  </si>
  <si>
    <t>ORD0067</t>
  </si>
  <si>
    <t>CUST044</t>
  </si>
  <si>
    <t>Customer_36</t>
  </si>
  <si>
    <t>ORD0068</t>
  </si>
  <si>
    <t>Customer_31</t>
  </si>
  <si>
    <t>ORD0069</t>
  </si>
  <si>
    <t>ORD0070</t>
  </si>
  <si>
    <t>CUST033</t>
  </si>
  <si>
    <t>Customer_30</t>
  </si>
  <si>
    <t>ORD0071</t>
  </si>
  <si>
    <t>03/04/2026</t>
  </si>
  <si>
    <t>ORD0072</t>
  </si>
  <si>
    <t>Customer_17</t>
  </si>
  <si>
    <t>ORD0073</t>
  </si>
  <si>
    <t>Customer_2</t>
  </si>
  <si>
    <t>ORD0074</t>
  </si>
  <si>
    <t>CUST015</t>
  </si>
  <si>
    <t>ORD0075</t>
  </si>
  <si>
    <t>ORD0076</t>
  </si>
  <si>
    <t>Customer_58</t>
  </si>
  <si>
    <t>ORD0077</t>
  </si>
  <si>
    <t>Customer_27</t>
  </si>
  <si>
    <t>ORD0078</t>
  </si>
  <si>
    <t>ORD0079</t>
  </si>
  <si>
    <t>ORD0080</t>
  </si>
  <si>
    <t>ORD0081</t>
  </si>
  <si>
    <t>ORD0082</t>
  </si>
  <si>
    <t>CUST012</t>
  </si>
  <si>
    <t>ORD0083</t>
  </si>
  <si>
    <t>01/05/2026</t>
  </si>
  <si>
    <t>ORD0084</t>
  </si>
  <si>
    <t>ORD0085</t>
  </si>
  <si>
    <t>CUST005</t>
  </si>
  <si>
    <t>12/05/2026</t>
  </si>
  <si>
    <t>ORD0086</t>
  </si>
  <si>
    <t>10/06/2026</t>
  </si>
  <si>
    <t>ORD0087</t>
  </si>
  <si>
    <t>CUST027</t>
  </si>
  <si>
    <t>01/02/2026</t>
  </si>
  <si>
    <t>ORD0088</t>
  </si>
  <si>
    <t>ORD0089</t>
  </si>
  <si>
    <t>04/03/2026</t>
  </si>
  <si>
    <t>ORD0090</t>
  </si>
  <si>
    <t>ORD0091</t>
  </si>
  <si>
    <t>CUST035</t>
  </si>
  <si>
    <t>ORD0092</t>
  </si>
  <si>
    <t>ORD0093</t>
  </si>
  <si>
    <t>CUST030</t>
  </si>
  <si>
    <t>Customer_53</t>
  </si>
  <si>
    <t>09/04/2026</t>
  </si>
  <si>
    <t>ORD0094</t>
  </si>
  <si>
    <t>ORD0095</t>
  </si>
  <si>
    <t>Customer_19</t>
  </si>
  <si>
    <t>ORD0096</t>
  </si>
  <si>
    <t>ORD0097</t>
  </si>
  <si>
    <t>CUST009</t>
  </si>
  <si>
    <t>12/06/2026</t>
  </si>
  <si>
    <t>ORD0098</t>
  </si>
  <si>
    <t>Customer_22</t>
  </si>
  <si>
    <t>ORD0099</t>
  </si>
  <si>
    <t>ORD0100</t>
  </si>
  <si>
    <t>ORD0101</t>
  </si>
  <si>
    <t>ORD0102</t>
  </si>
  <si>
    <t>ORD0103</t>
  </si>
  <si>
    <t>CUST051</t>
  </si>
  <si>
    <t>ORD0104</t>
  </si>
  <si>
    <t>ORD0105</t>
  </si>
  <si>
    <t>Customer_6</t>
  </si>
  <si>
    <t>ORD0106</t>
  </si>
  <si>
    <t>CUST054</t>
  </si>
  <si>
    <t>09/05/2026</t>
  </si>
  <si>
    <t>ORD0107</t>
  </si>
  <si>
    <t>ORD0108</t>
  </si>
  <si>
    <t>Customer_47</t>
  </si>
  <si>
    <t>05/04/2026</t>
  </si>
  <si>
    <t>ORD0109</t>
  </si>
  <si>
    <t>ORD0110</t>
  </si>
  <si>
    <t>ORD0111</t>
  </si>
  <si>
    <t>Customer_13</t>
  </si>
  <si>
    <t>ORD0112</t>
  </si>
  <si>
    <t>09/01/2026</t>
  </si>
  <si>
    <t>ORD0113</t>
  </si>
  <si>
    <t>ORD0114</t>
  </si>
  <si>
    <t>Customer_16</t>
  </si>
  <si>
    <t>ORD0115</t>
  </si>
  <si>
    <t>ORD0116</t>
  </si>
  <si>
    <t>ORD0117</t>
  </si>
  <si>
    <t>ORD0118</t>
  </si>
  <si>
    <t>Customer_7</t>
  </si>
  <si>
    <t>ORD0119</t>
  </si>
  <si>
    <t>ORD0120</t>
  </si>
  <si>
    <t>CUST004</t>
  </si>
  <si>
    <t>ORD0121</t>
  </si>
  <si>
    <t>ORD0122</t>
  </si>
  <si>
    <t>CUST068</t>
  </si>
  <si>
    <t>ORD0123</t>
  </si>
  <si>
    <t>ORD0124</t>
  </si>
  <si>
    <t>ORD0125</t>
  </si>
  <si>
    <t>CUST056</t>
  </si>
  <si>
    <t>ORD0126</t>
  </si>
  <si>
    <t>ORD0127</t>
  </si>
  <si>
    <t>Customer_29</t>
  </si>
  <si>
    <t>ORD0128</t>
  </si>
  <si>
    <t>ORD0129</t>
  </si>
  <si>
    <t>ORD0130</t>
  </si>
  <si>
    <t>Customer_44</t>
  </si>
  <si>
    <t>02/06/2026</t>
  </si>
  <si>
    <t>ORD0131</t>
  </si>
  <si>
    <t>ORD0132</t>
  </si>
  <si>
    <t>ORD0133</t>
  </si>
  <si>
    <t>ORD0134</t>
  </si>
  <si>
    <t>CUST038</t>
  </si>
  <si>
    <t>Customer_42</t>
  </si>
  <si>
    <t>ORD0135</t>
  </si>
  <si>
    <t>ORD0136</t>
  </si>
  <si>
    <t>ORD0137</t>
  </si>
  <si>
    <t>ORD0138</t>
  </si>
  <si>
    <t>11/05/2026</t>
  </si>
  <si>
    <t>ORD0139</t>
  </si>
  <si>
    <t>09/02/2026</t>
  </si>
  <si>
    <t>ORD0140</t>
  </si>
  <si>
    <t>ORD0141</t>
  </si>
  <si>
    <t>12/03/2026</t>
  </si>
  <si>
    <t>ORD0142</t>
  </si>
  <si>
    <t>Customer_10</t>
  </si>
  <si>
    <t>ORD0143</t>
  </si>
  <si>
    <t>Customer_50</t>
  </si>
  <si>
    <t>ORD0144</t>
  </si>
  <si>
    <t>ORD0145</t>
  </si>
  <si>
    <t>06/04/2026</t>
  </si>
  <si>
    <t>ORD0146</t>
  </si>
  <si>
    <t>ORD0147</t>
  </si>
  <si>
    <t>CUST037</t>
  </si>
  <si>
    <t>Customer_33</t>
  </si>
  <si>
    <t>ORD0148</t>
  </si>
  <si>
    <t>ORD0149</t>
  </si>
  <si>
    <t>ORD0150</t>
  </si>
  <si>
    <t>ORD0151</t>
  </si>
  <si>
    <t>Customer_5</t>
  </si>
  <si>
    <t>ORD0152</t>
  </si>
  <si>
    <t>06/06/2026</t>
  </si>
  <si>
    <t>ORD0153</t>
  </si>
  <si>
    <t>CUST058</t>
  </si>
  <si>
    <t>ORD0154</t>
  </si>
  <si>
    <t>ORD0155</t>
  </si>
  <si>
    <t>ORD0156</t>
  </si>
  <si>
    <t>ORD0157</t>
  </si>
  <si>
    <t>ORD0158</t>
  </si>
  <si>
    <t>ORD0159</t>
  </si>
  <si>
    <t>CUST061</t>
  </si>
  <si>
    <t>ORD0160</t>
  </si>
  <si>
    <t>ORD0161</t>
  </si>
  <si>
    <t>ORD0162</t>
  </si>
  <si>
    <t>ORD0163</t>
  </si>
  <si>
    <t>10/04/2026</t>
  </si>
  <si>
    <t>ORD0164</t>
  </si>
  <si>
    <t>CUST003</t>
  </si>
  <si>
    <t>ORD0165</t>
  </si>
  <si>
    <t>CUST018</t>
  </si>
  <si>
    <t>ORD0166</t>
  </si>
  <si>
    <t>CUST024</t>
  </si>
  <si>
    <t>Customer_18</t>
  </si>
  <si>
    <t>ORD0167</t>
  </si>
  <si>
    <t>Customer_51</t>
  </si>
  <si>
    <t>ORD0168</t>
  </si>
  <si>
    <t>ORD0169</t>
  </si>
  <si>
    <t>04/06/2026</t>
  </si>
  <si>
    <t>ORD0170</t>
  </si>
  <si>
    <t>ORD0171</t>
  </si>
  <si>
    <t>ORD0172</t>
  </si>
  <si>
    <t>CUST008</t>
  </si>
  <si>
    <t>08/01/2026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</si>
  <si>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</si>
  <si>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</si>
  <si>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</si>
  <si>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</si>
  <si>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</si>
  <si>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</si>
  <si>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</si>
  <si>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</si>
  <si>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CUST017</t>
  </si>
  <si>
    <t>ORD0181</t>
  </si>
  <si>
    <t>ORD0182</t>
  </si>
  <si>
    <t>ORD0183</t>
  </si>
  <si>
    <t>Customer_45</t>
  </si>
  <si>
    <t>ORD0184</t>
  </si>
  <si>
    <t>ORD0185</t>
  </si>
  <si>
    <t>ORD0186</t>
  </si>
  <si>
    <t>ORD0187</t>
  </si>
  <si>
    <t>06/02/2026</t>
  </si>
  <si>
    <t>ORD0188</t>
  </si>
  <si>
    <t>ORD0189</t>
  </si>
  <si>
    <t>ORD0190</t>
  </si>
  <si>
    <t>08/05/2026</t>
  </si>
  <si>
    <t>ORD0191</t>
  </si>
  <si>
    <t>ORD0192</t>
  </si>
  <si>
    <t>Customer_37</t>
  </si>
  <si>
    <t>04/04/2026</t>
  </si>
  <si>
    <t>ORD0193</t>
  </si>
  <si>
    <t>ORD0194</t>
  </si>
  <si>
    <t>ORD0195</t>
  </si>
  <si>
    <t>Customer_66</t>
  </si>
  <si>
    <t>ORD0196</t>
  </si>
  <si>
    <t>ORD0197</t>
  </si>
  <si>
    <t>ORD0198</t>
  </si>
  <si>
    <t>ORD0199</t>
  </si>
  <si>
    <t>ORD0200</t>
  </si>
  <si>
    <t>Customer_3</t>
  </si>
  <si>
    <t>KPI</t>
  </si>
  <si>
    <t>Formula</t>
  </si>
  <si>
    <t>Total Sales</t>
  </si>
  <si>
    <t>Total Profit</t>
  </si>
  <si>
    <t>Top City</t>
  </si>
  <si>
    <t>Top Product</t>
  </si>
  <si>
    <t>Best Month</t>
  </si>
  <si>
    <t>October</t>
  </si>
  <si>
    <t>Sum of Total_sales</t>
  </si>
  <si>
    <t>Sum of Profit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</si>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</sst>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pivotButton="1"/>
    <xf numFmtId="164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7">
    <dxf>
      <alignment horizontal="center" vertical="bottom" textRotation="0" wrapText="0" indent="0" justifyLastLine="0" shrinkToFit="0" readingOrder="0"/>
    </dxf>
    <dxf>
      <numFmt numFmtId="164" formatCode="&quot;$&quot;#,##0"/>
      <alignment horizontal="center" vertical="bottom" textRotation="0" wrapText="0" indent="0" justifyLastLine="0" shrinkToFit="0" readingOrder="0"/>
    </dxf>
    <dxf>
      <numFmt numFmtId="164" formatCode="&quot;$&quot;#,##0"/>
      <alignment horizontal="center" vertical="bottom" textRotation="0" wrapText="0" indent="0" justifyLastLine="0" shrinkToFit="0" readingOrder="0"/>
    </dxf>
    <dxf>
      <numFmt numFmtId="164" formatCode="&quot;$&quot;#,##0"/>
      <alignment horizontal="center" vertical="bottom" textRotation="0" wrapText="0" indent="0" justifyLastLine="0" shrinkToFit="0" readingOrder="0"/>
    </dxf>
    <dxf>
      <numFmt numFmtId="164" formatCode="&quot;$&quot;#,##0"/>
      <alignment horizontal="center" vertical="bottom" textRotation="0" wrapText="0" indent="0" justifyLastLine="0" shrinkToFit="0" readingOrder="0"/>
    </dxf>
    <dxf>
      <numFmt numFmtId="164" formatCode="&quot;$&quot;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&quot;$&quot;#,##0"/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[retail_sales_portfolio_project 1.xlsx]Pivot_table!PivotTable1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Pivot_table!$A$4:$A$10</c:f>
              <c:strCache>
                <c:ptCount val="6"/>
                <c:pt idx="0">
                  <c:v>Port Harcourt</c:v>
                </c:pt>
                <c:pt idx="1">
                  <c:v>Abuja</c:v>
                </c:pt>
                <c:pt idx="2">
                  <c:v>Kano</c:v>
                </c:pt>
                <c:pt idx="3">
                  <c:v>Lagos</c:v>
                </c:pt>
                <c:pt idx="4">
                  <c:v>Ibadan</c:v>
                </c:pt>
                <c:pt idx="5">
                  <c:v>Jos</c:v>
                </c:pt>
              </c:strCache>
            </c:strRef>
          </c:cat>
          <c:val>
            <c:numRef>
              <c:f>Pivot_table!$B$4:$B$10</c:f>
              <c:numCache>
                <c:formatCode>"$"#,##0</c:formatCode>
                <c:ptCount val="6"/>
                <c:pt idx="0">
                  <c:v>24150000</c:v>
                </c:pt>
                <c:pt idx="1">
                  <c:v>21090000</c:v>
                </c:pt>
                <c:pt idx="2">
                  <c:v>19580000</c:v>
                </c:pt>
                <c:pt idx="3">
                  <c:v>15822000</c:v>
                </c:pt>
                <c:pt idx="4">
                  <c:v>14863000</c:v>
                </c:pt>
                <c:pt idx="5">
                  <c:v>13661000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C-4D2E-8826-015FAF16D38A}"/>
            </c:ext>
          </c:extLst>
        </c:ser>
        <c:ser>
          <c:idx val="1"/>
          <c:order val="1"/>
          <c:tx>
            <c:strRef>
              <c:f>Pivot_table!$C$3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Pivot_table!$A$4:$A$10</c:f>
              <c:strCache>
                <c:ptCount val="6"/>
                <c:pt idx="0">
                  <c:v>Port Harcourt</c:v>
                </c:pt>
                <c:pt idx="1">
                  <c:v>Abuja</c:v>
                </c:pt>
                <c:pt idx="2">
                  <c:v>Kano</c:v>
                </c:pt>
                <c:pt idx="3">
                  <c:v>Lagos</c:v>
                </c:pt>
                <c:pt idx="4">
                  <c:v>Ibadan</c:v>
                </c:pt>
                <c:pt idx="5">
                  <c:v>Jos</c:v>
                </c:pt>
              </c:strCache>
            </c:strRef>
          </c:cat>
          <c:val>
            <c:numRef>
              <c:f>Pivot_table!$C$4:$C$10</c:f>
              <c:numCache>
                <c:formatCode>"$"#,##0</c:formatCode>
                <c:ptCount val="6"/>
                <c:pt idx="0">
                  <c:v>5922000</c:v>
                </c:pt>
                <c:pt idx="1">
                  <c:v>4983500</c:v>
                </c:pt>
                <c:pt idx="2">
                  <c:v>4642500</c:v>
                </c:pt>
                <c:pt idx="3">
                  <c:v>3877500</c:v>
                </c:pt>
                <c:pt idx="4">
                  <c:v>3783000</c:v>
                </c:pt>
                <c:pt idx="5">
                  <c:v>3443000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8C-4D2E-8826-015FAF16D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6759431"/>
        <c:axId val="2006769159"/>
      </c:barChart>
      <c:catAx>
        <c:axId val="2006759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769159"/>
        <c:crosses val="autoZero"/>
        <c:auto val="1"/>
        <c:lblAlgn val="ctr"/>
        <c:lblOffset val="100"/>
        <c:noMultiLvlLbl val="0"/>
      </c:catAx>
      <c:valAx>
        <c:axId val="2006769159"/>
        <c:scaling>
          <c:orientation val="minMax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2006759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[retail_sales_portfolio_project 1.xlsx]Pivot_table!PivotTable2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Pivot_table!$H$3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Pivot_table!$G$4:$G$8</c:f>
              <c:strCache>
                <c:ptCount val="4"/>
                <c:pt idx="0">
                  <c:v>Automotive Components</c:v>
                </c:pt>
                <c:pt idx="1">
                  <c:v>Electronics</c:v>
                </c:pt>
                <c:pt idx="2">
                  <c:v>Groceries</c:v>
                </c:pt>
                <c:pt idx="3">
                  <c:v>Office Supplies</c:v>
                </c:pt>
              </c:strCache>
            </c:strRef>
          </c:cat>
          <c:val>
            <c:numRef>
              <c:f>Pivot_table!$H$4:$H$8</c:f>
              <c:numCache>
                <c:formatCode>"$"#,##0</c:formatCode>
                <c:ptCount val="4"/>
                <c:pt idx="0">
                  <c:v>15412000</c:v>
                </c:pt>
                <c:pt idx="1">
                  <c:v>65030000</c:v>
                </c:pt>
                <c:pt idx="2">
                  <c:v>24324000</c:v>
                </c:pt>
                <c:pt idx="3">
                  <c:v>4400000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4-4E83-9996-D62EE6C1FF0D}"/>
            </c:ext>
          </c:extLst>
        </c:ser>
        <c:ser>
          <c:idx val="1"/>
          <c:order val="1"/>
          <c:tx>
            <c:strRef>
              <c:f>Pivot_table!$I$3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Pivot_table!$G$4:$G$8</c:f>
              <c:strCache>
                <c:ptCount val="4"/>
                <c:pt idx="0">
                  <c:v>Automotive Components</c:v>
                </c:pt>
                <c:pt idx="1">
                  <c:v>Electronics</c:v>
                </c:pt>
                <c:pt idx="2">
                  <c:v>Groceries</c:v>
                </c:pt>
                <c:pt idx="3">
                  <c:v>Office Supplies</c:v>
                </c:pt>
              </c:strCache>
            </c:strRef>
          </c:cat>
          <c:val>
            <c:numRef>
              <c:f>Pivot_table!$I$4:$I$8</c:f>
              <c:numCache>
                <c:formatCode>"$"#,##0</c:formatCode>
                <c:ptCount val="4"/>
                <c:pt idx="0">
                  <c:v>3966000</c:v>
                </c:pt>
                <c:pt idx="1">
                  <c:v>14930000</c:v>
                </c:pt>
                <c:pt idx="2">
                  <c:v>6216000</c:v>
                </c:pt>
                <c:pt idx="3">
                  <c:v>1539500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E4-4E83-9996-D62EE6C1F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27208"/>
        <c:axId val="2030638599"/>
      </c:barChart>
      <c:catAx>
        <c:axId val="2227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638599"/>
        <c:crosses val="autoZero"/>
        <c:auto val="1"/>
        <c:lblAlgn val="ctr"/>
        <c:lblOffset val="100"/>
        <c:noMultiLvlLbl val="0"/>
      </c:catAx>
      <c:valAx>
        <c:axId val="2030638599"/>
        <c:scaling>
          <c:orientation val="minMax"/>
        </c:scaling>
        <c:delete val="1"/>
        <c:axPos val="b"/>
        <c:numFmt formatCode="&quot;$&quot;#,##0" sourceLinked="1"/>
        <c:majorTickMark val="none"/>
        <c:minorTickMark val="none"/>
        <c:tickLblPos val="nextTo"/>
        <c:crossAx val="2227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[retail_sales_portfolio_project 1.xlsx]Pivot_table!PivotTable4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Pivot_table!$B$19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Pivot_table!$A$20:$A$32</c:f>
              <c:strCache>
                <c:ptCount val="12"/>
                <c:pt idx="0">
                  <c:v>Beans</c:v>
                </c:pt>
                <c:pt idx="1">
                  <c:v>Brake Pads</c:v>
                </c:pt>
                <c:pt idx="2">
                  <c:v>Car Battery</c:v>
                </c:pt>
                <c:pt idx="3">
                  <c:v>Cooking Oil</c:v>
                </c:pt>
                <c:pt idx="4">
                  <c:v>Engine Oil</c:v>
                </c:pt>
                <c:pt idx="5">
                  <c:v>Headphones</c:v>
                </c:pt>
                <c:pt idx="6">
                  <c:v>Ink Cartridge</c:v>
                </c:pt>
                <c:pt idx="7">
                  <c:v>Laptop</c:v>
                </c:pt>
                <c:pt idx="8">
                  <c:v>Phone</c:v>
                </c:pt>
                <c:pt idx="9">
                  <c:v>Printer Paper</c:v>
                </c:pt>
                <c:pt idx="10">
                  <c:v>Rice</c:v>
                </c:pt>
                <c:pt idx="11">
                  <c:v>Stapler</c:v>
                </c:pt>
              </c:strCache>
            </c:strRef>
          </c:cat>
          <c:val>
            <c:numRef>
              <c:f>Pivot_table!$B$20:$B$32</c:f>
              <c:numCache>
                <c:formatCode>"$"#,##0</c:formatCode>
                <c:ptCount val="12"/>
                <c:pt idx="0">
                  <c:v>2600000</c:v>
                </c:pt>
                <c:pt idx="1">
                  <c:v>636000</c:v>
                </c:pt>
                <c:pt idx="2">
                  <c:v>2808000</c:v>
                </c:pt>
                <c:pt idx="3">
                  <c:v>1036000</c:v>
                </c:pt>
                <c:pt idx="4">
                  <c:v>522000</c:v>
                </c:pt>
                <c:pt idx="5">
                  <c:v>1380000</c:v>
                </c:pt>
                <c:pt idx="6">
                  <c:v>602000</c:v>
                </c:pt>
                <c:pt idx="7">
                  <c:v>8470000</c:v>
                </c:pt>
                <c:pt idx="8">
                  <c:v>5080000</c:v>
                </c:pt>
                <c:pt idx="9">
                  <c:v>680000</c:v>
                </c:pt>
                <c:pt idx="10">
                  <c:v>2580000</c:v>
                </c:pt>
                <c:pt idx="11">
                  <c:v>257500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2-4839-A5D3-62DD67B297A3}"/>
            </c:ext>
          </c:extLst>
        </c:ser>
        <c:ser>
          <c:idx val="1"/>
          <c:order val="1"/>
          <c:tx>
            <c:strRef>
              <c:f>Pivot_table!$C$19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Pivot_table!$A$20:$A$32</c:f>
              <c:strCache>
                <c:ptCount val="12"/>
                <c:pt idx="0">
                  <c:v>Beans</c:v>
                </c:pt>
                <c:pt idx="1">
                  <c:v>Brake Pads</c:v>
                </c:pt>
                <c:pt idx="2">
                  <c:v>Car Battery</c:v>
                </c:pt>
                <c:pt idx="3">
                  <c:v>Cooking Oil</c:v>
                </c:pt>
                <c:pt idx="4">
                  <c:v>Engine Oil</c:v>
                </c:pt>
                <c:pt idx="5">
                  <c:v>Headphones</c:v>
                </c:pt>
                <c:pt idx="6">
                  <c:v>Ink Cartridge</c:v>
                </c:pt>
                <c:pt idx="7">
                  <c:v>Laptop</c:v>
                </c:pt>
                <c:pt idx="8">
                  <c:v>Phone</c:v>
                </c:pt>
                <c:pt idx="9">
                  <c:v>Printer Paper</c:v>
                </c:pt>
                <c:pt idx="10">
                  <c:v>Rice</c:v>
                </c:pt>
                <c:pt idx="11">
                  <c:v>Stapler</c:v>
                </c:pt>
              </c:strCache>
            </c:strRef>
          </c:cat>
          <c:val>
            <c:numRef>
              <c:f>Pivot_table!$C$20:$C$32</c:f>
              <c:numCache>
                <c:formatCode>"$"#,##0</c:formatCode>
                <c:ptCount val="12"/>
                <c:pt idx="0">
                  <c:v>9000000</c:v>
                </c:pt>
                <c:pt idx="1">
                  <c:v>1908000</c:v>
                </c:pt>
                <c:pt idx="2">
                  <c:v>11880000</c:v>
                </c:pt>
                <c:pt idx="3">
                  <c:v>4144000</c:v>
                </c:pt>
                <c:pt idx="4">
                  <c:v>1624000</c:v>
                </c:pt>
                <c:pt idx="5">
                  <c:v>3450000</c:v>
                </c:pt>
                <c:pt idx="6">
                  <c:v>2150000</c:v>
                </c:pt>
                <c:pt idx="7">
                  <c:v>38720000</c:v>
                </c:pt>
                <c:pt idx="8">
                  <c:v>22860000</c:v>
                </c:pt>
                <c:pt idx="9">
                  <c:v>1632000</c:v>
                </c:pt>
                <c:pt idx="10">
                  <c:v>11180000</c:v>
                </c:pt>
                <c:pt idx="11">
                  <c:v>618000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42-4839-A5D3-62DD67B29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4646919"/>
        <c:axId val="2044648967"/>
      </c:barChart>
      <c:catAx>
        <c:axId val="2044646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648967"/>
        <c:crosses val="autoZero"/>
        <c:auto val="1"/>
        <c:lblAlgn val="ctr"/>
        <c:lblOffset val="100"/>
        <c:noMultiLvlLbl val="0"/>
      </c:catAx>
      <c:valAx>
        <c:axId val="2044648967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044646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[retail_sales_portfolio_project 1.xlsx]Pivot_table!PivotTable3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Pivot_table!$H$19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Pivot_table!$G$20:$G$32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Pivot_table!$H$20:$H$32</c:f>
              <c:numCache>
                <c:formatCode>"$"#,##0</c:formatCode>
                <c:ptCount val="12"/>
                <c:pt idx="0">
                  <c:v>1048000</c:v>
                </c:pt>
                <c:pt idx="1">
                  <c:v>2853500</c:v>
                </c:pt>
                <c:pt idx="2">
                  <c:v>3075500</c:v>
                </c:pt>
                <c:pt idx="3">
                  <c:v>1363000</c:v>
                </c:pt>
                <c:pt idx="4">
                  <c:v>2070000</c:v>
                </c:pt>
                <c:pt idx="5">
                  <c:v>1814500</c:v>
                </c:pt>
                <c:pt idx="6">
                  <c:v>1814500</c:v>
                </c:pt>
                <c:pt idx="7">
                  <c:v>2768500</c:v>
                </c:pt>
                <c:pt idx="8">
                  <c:v>3181500</c:v>
                </c:pt>
                <c:pt idx="9">
                  <c:v>2519500</c:v>
                </c:pt>
                <c:pt idx="10">
                  <c:v>894500</c:v>
                </c:pt>
                <c:pt idx="11">
                  <c:v>3248500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59-4AD1-AEEF-0D21C6C41A03}"/>
            </c:ext>
          </c:extLst>
        </c:ser>
        <c:ser>
          <c:idx val="1"/>
          <c:order val="1"/>
          <c:tx>
            <c:strRef>
              <c:f>Pivot_table!$I$19</c:f>
              <c:strCache>
                <c:ptCount val="1"/>
                <c:pt idx="0">
                  <c:v>Sum of Total_sales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Pivot_table!$G$20:$G$32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Pivot_table!$I$20:$I$32</c:f>
              <c:numCache>
                <c:formatCode>"$"#,##0</c:formatCode>
                <c:ptCount val="12"/>
                <c:pt idx="0">
                  <c:v>3891000</c:v>
                </c:pt>
                <c:pt idx="1">
                  <c:v>11752000</c:v>
                </c:pt>
                <c:pt idx="2">
                  <c:v>12827000</c:v>
                </c:pt>
                <c:pt idx="3">
                  <c:v>4961000</c:v>
                </c:pt>
                <c:pt idx="4">
                  <c:v>8549000</c:v>
                </c:pt>
                <c:pt idx="5">
                  <c:v>7316000</c:v>
                </c:pt>
                <c:pt idx="6">
                  <c:v>7587000</c:v>
                </c:pt>
                <c:pt idx="7">
                  <c:v>11182000</c:v>
                </c:pt>
                <c:pt idx="8">
                  <c:v>12879000</c:v>
                </c:pt>
                <c:pt idx="9">
                  <c:v>11108000</c:v>
                </c:pt>
                <c:pt idx="10">
                  <c:v>3704000</c:v>
                </c:pt>
                <c:pt idx="11">
                  <c:v>13410000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59-4AD1-AEEF-0D21C6C41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0280455"/>
        <c:axId val="1112356360"/>
      </c:lineChart>
      <c:catAx>
        <c:axId val="2050280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356360"/>
        <c:crosses val="autoZero"/>
        <c:auto val="1"/>
        <c:lblAlgn val="ctr"/>
        <c:lblOffset val="100"/>
        <c:noMultiLvlLbl val="0"/>
      </c:catAx>
      <c:valAx>
        <c:axId val="1112356360"/>
        <c:scaling>
          <c:orientation val="minMax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2050280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</xdr:row>
      <xdr:rowOff>114300</xdr:rowOff>
    </xdr:from>
    <xdr:to>
      <xdr:col>6</xdr:col>
      <xdr:colOff>342900</xdr:colOff>
      <xdr:row>13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921EBC-FBDF-4164-9E63-738A9DE4DD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17</xdr:row>
      <xdr:rowOff>152400</xdr:rowOff>
    </xdr:from>
    <xdr:to>
      <xdr:col>6</xdr:col>
      <xdr:colOff>495300</xdr:colOff>
      <xdr:row>29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A0B091-A086-4A5F-ACD4-7E7B6EF64450}"/>
            </a:ext>
            <a:ext uri="{147F2762-F138-4A5C-976F-8EAC2B608ADB}">
              <a16:predDERef xmlns:a16="http://schemas.microsoft.com/office/drawing/2014/main" pred="{4E921EBC-FBDF-4164-9E63-738A9DE4DD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266700</xdr:colOff>
      <xdr:row>1</xdr:row>
      <xdr:rowOff>152400</xdr:rowOff>
    </xdr:from>
    <xdr:to>
      <xdr:col>22</xdr:col>
      <xdr:colOff>276225</xdr:colOff>
      <xdr:row>13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67C64D-4D7D-4E55-8337-52F08082CE25}"/>
            </a:ext>
            <a:ext uri="{147F2762-F138-4A5C-976F-8EAC2B608ADB}">
              <a16:predDERef xmlns:a16="http://schemas.microsoft.com/office/drawing/2014/main" pred="{E1A0B091-A086-4A5F-ACD4-7E7B6EF64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1038225</xdr:colOff>
      <xdr:row>18</xdr:row>
      <xdr:rowOff>123825</xdr:rowOff>
    </xdr:from>
    <xdr:to>
      <xdr:col>21</xdr:col>
      <xdr:colOff>142875</xdr:colOff>
      <xdr:row>29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81571E-3FEE-4AC8-989D-B64CCC70F77F}"/>
            </a:ext>
            <a:ext uri="{147F2762-F138-4A5C-976F-8EAC2B608ADB}">
              <a16:predDERef xmlns:a16="http://schemas.microsoft.com/office/drawing/2014/main" pred="{0D67C64D-4D7D-4E55-8337-52F08082C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514350</xdr:colOff>
      <xdr:row>17</xdr:row>
      <xdr:rowOff>171450</xdr:rowOff>
    </xdr:from>
    <xdr:to>
      <xdr:col>17</xdr:col>
      <xdr:colOff>561975</xdr:colOff>
      <xdr:row>31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City">
              <a:extLst>
                <a:ext uri="{FF2B5EF4-FFF2-40B4-BE49-F238E27FC236}">
                  <a16:creationId xmlns:a16="http://schemas.microsoft.com/office/drawing/2014/main" id="{BB72D3C8-10D5-892A-D122-4B66FE51AD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73150" y="34099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15</xdr:col>
      <xdr:colOff>466725</xdr:colOff>
      <xdr:row>1</xdr:row>
      <xdr:rowOff>161925</xdr:rowOff>
    </xdr:from>
    <xdr:to>
      <xdr:col>17</xdr:col>
      <xdr:colOff>514350</xdr:colOff>
      <xdr:row>15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Category">
              <a:extLst>
                <a:ext uri="{FF2B5EF4-FFF2-40B4-BE49-F238E27FC236}">
                  <a16:creationId xmlns:a16="http://schemas.microsoft.com/office/drawing/2014/main" id="{9B66F2D7-1D81-6329-41C1-A59FC97E1C5A}"/>
                </a:ext>
                <a:ext uri="{147F2762-F138-4A5C-976F-8EAC2B608ADB}">
                  <a16:predDERef xmlns:a16="http://schemas.microsoft.com/office/drawing/2014/main" pred="{BB72D3C8-10D5-892A-D122-4B66FE51AD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25525" y="3524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95250</xdr:colOff>
      <xdr:row>17</xdr:row>
      <xdr:rowOff>57150</xdr:rowOff>
    </xdr:from>
    <xdr:to>
      <xdr:col>14</xdr:col>
      <xdr:colOff>552450</xdr:colOff>
      <xdr:row>31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Payment_method">
              <a:extLst>
                <a:ext uri="{FF2B5EF4-FFF2-40B4-BE49-F238E27FC236}">
                  <a16:creationId xmlns:a16="http://schemas.microsoft.com/office/drawing/2014/main" id="{CABFE3A6-8ECD-6011-8BDE-917B3A489740}"/>
                </a:ext>
                <a:ext uri="{147F2762-F138-4A5C-976F-8EAC2B608ADB}">
                  <a16:predDERef xmlns:a16="http://schemas.microsoft.com/office/drawing/2014/main" pred="{9B66F2D7-1D81-6329-41C1-A59FC97E1C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44250" y="32956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19050</xdr:colOff>
      <xdr:row>1</xdr:row>
      <xdr:rowOff>171450</xdr:rowOff>
    </xdr:from>
    <xdr:to>
      <xdr:col>14</xdr:col>
      <xdr:colOff>476250</xdr:colOff>
      <xdr:row>15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Month">
              <a:extLst>
                <a:ext uri="{FF2B5EF4-FFF2-40B4-BE49-F238E27FC236}">
                  <a16:creationId xmlns:a16="http://schemas.microsoft.com/office/drawing/2014/main" id="{35E47E0E-8203-0EF6-FEB5-43619868C44E}"/>
                </a:ext>
                <a:ext uri="{147F2762-F138-4A5C-976F-8EAC2B608ADB}">
                  <a16:predDERef xmlns:a16="http://schemas.microsoft.com/office/drawing/2014/main" pred="{CABFE3A6-8ECD-6011-8BDE-917B3A4897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68050" y="3619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4.961394907405" createdVersion="8" refreshedVersion="8" minRefreshableVersion="3" recordCount="200" xr:uid="{B9552CE1-D077-4A09-8ADE-846304AEE17F}">
  <cacheSource type="worksheet">
    <worksheetSource name="Table1"/>
  </cacheSource>
  <cacheFields count="16">
    <cacheField name="Order_date" numFmtId="14">
      <sharedItems containsDate="1" containsMixedTypes="1" minDate="1905-07-18T00:00:00" maxDate="2026-12-31T00:00:00"/>
    </cacheField>
    <cacheField name="Order_ID" numFmtId="0">
      <sharedItems/>
    </cacheField>
    <cacheField name="Customer_order" numFmtId="0">
      <sharedItems/>
    </cacheField>
    <cacheField name="Cusstomer_name" numFmtId="0">
      <sharedItems/>
    </cacheField>
    <cacheField name="City" numFmtId="0">
      <sharedItems count="6">
        <s v="Abuja"/>
        <s v="Lagos"/>
        <s v="Port Harcourt"/>
        <s v="Ibadan"/>
        <s v="Jos"/>
        <s v="Kano"/>
      </sharedItems>
    </cacheField>
    <cacheField name="Product_ID" numFmtId="0">
      <sharedItems/>
    </cacheField>
    <cacheField name="Product_name" numFmtId="0">
      <sharedItems count="12">
        <s v="Brake Pads"/>
        <s v="Printer Paper"/>
        <s v="Phone"/>
        <s v="Rice"/>
        <s v="Car Battery"/>
        <s v="Laptop"/>
        <s v="Stapler"/>
        <s v="Engine Oil"/>
        <s v="Headphones"/>
        <s v="Beans"/>
        <s v="Cooking Oil"/>
        <s v="Ink Cartridge"/>
      </sharedItems>
    </cacheField>
    <cacheField name="Category" numFmtId="0">
      <sharedItems count="4">
        <s v="Automotive Components"/>
        <s v="Office Supplies"/>
        <s v="Electronics"/>
        <s v="Groceries"/>
      </sharedItems>
    </cacheField>
    <cacheField name="Quantity" numFmtId="0">
      <sharedItems containsSemiMixedTypes="0" containsString="0" containsNumber="1" containsInteger="1" minValue="1" maxValue="15"/>
    </cacheField>
    <cacheField name="Unit_price" numFmtId="164">
      <sharedItems containsSemiMixedTypes="0" containsString="0" containsNumber="1" containsInteger="1" minValue="6000" maxValue="320000"/>
    </cacheField>
    <cacheField name="Unit_cost" numFmtId="164">
      <sharedItems containsSemiMixedTypes="0" containsString="0" containsNumber="1" containsInteger="1" minValue="3500" maxValue="250000"/>
    </cacheField>
    <cacheField name="Total_sales" numFmtId="164">
      <sharedItems containsSemiMixedTypes="0" containsString="0" containsNumber="1" containsInteger="1" minValue="6000" maxValue="4480000"/>
    </cacheField>
    <cacheField name="Total_cost" numFmtId="164">
      <sharedItems containsSemiMixedTypes="0" containsString="0" containsNumber="1" containsInteger="1" minValue="3500" maxValue="3500000"/>
    </cacheField>
    <cacheField name="Profit" numFmtId="164">
      <sharedItems containsSemiMixedTypes="0" containsString="0" containsNumber="1" containsInteger="1" minValue="2500" maxValue="980000"/>
    </cacheField>
    <cacheField name="Payment_method" numFmtId="0">
      <sharedItems count="3">
        <s v="Card"/>
        <s v="Transfer"/>
        <s v="Cash"/>
      </sharedItems>
    </cacheField>
    <cacheField name="Month" numFmtId="0">
      <sharedItems count="12">
        <s v="May"/>
        <s v="Oct"/>
        <s v="Apr"/>
        <s v="Aug"/>
        <s v="Sep"/>
        <s v="Jul"/>
        <s v="Feb"/>
        <s v="Mar"/>
        <s v="Jun"/>
        <s v="Dec"/>
        <s v="Nov"/>
        <s v="Jan"/>
      </sharedItems>
    </cacheField>
  </cacheFields>
  <extLst>
    <ext xmlns:x14="http://schemas.microsoft.com/office/spreadsheetml/2009/9/main" uri="{725AE2AE-9491-48be-B2B4-4EB974FC3084}">
      <x14:pivotCacheDefinition pivotCacheId="9913573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05/02/2026"/>
    <s v="ORD0001"/>
    <s v="CUST070"/>
    <s v="Customer_12"/>
    <x v="0"/>
    <s v="P019"/>
    <x v="0"/>
    <x v="0"/>
    <n v="12"/>
    <n v="18000"/>
    <n v="12000"/>
    <n v="216000"/>
    <n v="144000"/>
    <n v="72000"/>
    <x v="0"/>
    <x v="0"/>
  </r>
  <r>
    <s v="10/05/2026"/>
    <s v="ORD0002"/>
    <s v="CUST026"/>
    <s v="Customer_70"/>
    <x v="0"/>
    <s v="P014"/>
    <x v="1"/>
    <x v="1"/>
    <n v="1"/>
    <n v="12000"/>
    <n v="7000"/>
    <n v="12000"/>
    <n v="7000"/>
    <n v="5000"/>
    <x v="0"/>
    <x v="1"/>
  </r>
  <r>
    <s v="10/02/2026"/>
    <s v="ORD0003"/>
    <s v="CUST036"/>
    <s v="Customer_20"/>
    <x v="1"/>
    <s v="P007"/>
    <x v="2"/>
    <x v="2"/>
    <n v="10"/>
    <n v="180000"/>
    <n v="140000"/>
    <n v="1800000"/>
    <n v="1400000"/>
    <n v="400000"/>
    <x v="1"/>
    <x v="1"/>
  </r>
  <r>
    <d v="2026-04-03T00:00:00"/>
    <s v="ORD0004"/>
    <s v="CUST059"/>
    <s v="Customer_69"/>
    <x v="2"/>
    <s v="P004"/>
    <x v="3"/>
    <x v="3"/>
    <n v="2"/>
    <n v="65000"/>
    <n v="50000"/>
    <n v="130000"/>
    <n v="100000"/>
    <n v="30000"/>
    <x v="2"/>
    <x v="2"/>
  </r>
  <r>
    <s v="08/06/2026"/>
    <s v="ORD0005"/>
    <s v="CUST025"/>
    <s v="Customer_9"/>
    <x v="3"/>
    <s v="P002"/>
    <x v="1"/>
    <x v="1"/>
    <n v="9"/>
    <n v="12000"/>
    <n v="7000"/>
    <n v="108000"/>
    <n v="63000"/>
    <n v="45000"/>
    <x v="1"/>
    <x v="3"/>
  </r>
  <r>
    <s v="08/04/2026"/>
    <s v="ORD0006"/>
    <s v="CUST047"/>
    <s v="Customer_21"/>
    <x v="1"/>
    <s v="P012"/>
    <x v="2"/>
    <x v="2"/>
    <n v="2"/>
    <n v="180000"/>
    <n v="140000"/>
    <n v="360000"/>
    <n v="280000"/>
    <n v="80000"/>
    <x v="0"/>
    <x v="3"/>
  </r>
  <r>
    <d v="2026-10-06T00:00:00"/>
    <s v="ORD0007"/>
    <s v="CUST022"/>
    <s v="Customer_69"/>
    <x v="3"/>
    <s v="P008"/>
    <x v="3"/>
    <x v="3"/>
    <n v="11"/>
    <n v="65000"/>
    <n v="50000"/>
    <n v="715000"/>
    <n v="550000"/>
    <n v="165000"/>
    <x v="0"/>
    <x v="1"/>
  </r>
  <r>
    <d v="2026-09-06T00:00:00"/>
    <s v="ORD0008"/>
    <s v="CUST042"/>
    <s v="Customer_8"/>
    <x v="3"/>
    <s v="P008"/>
    <x v="2"/>
    <x v="2"/>
    <n v="7"/>
    <n v="180000"/>
    <n v="140000"/>
    <n v="1260000"/>
    <n v="980000"/>
    <n v="280000"/>
    <x v="0"/>
    <x v="4"/>
  </r>
  <r>
    <d v="2026-07-05T00:00:00"/>
    <s v="ORD0009"/>
    <s v="CUST028"/>
    <s v="Customer_64"/>
    <x v="0"/>
    <s v="P013"/>
    <x v="4"/>
    <x v="0"/>
    <n v="7"/>
    <n v="55000"/>
    <n v="42000"/>
    <n v="385000"/>
    <n v="294000"/>
    <n v="91000"/>
    <x v="1"/>
    <x v="5"/>
  </r>
  <r>
    <d v="2026-02-05T00:00:00"/>
    <s v="ORD0010"/>
    <s v="CUST055"/>
    <s v="Customer_52"/>
    <x v="3"/>
    <s v="P012"/>
    <x v="1"/>
    <x v="1"/>
    <n v="5"/>
    <n v="12000"/>
    <n v="7000"/>
    <n v="60000"/>
    <n v="35000"/>
    <n v="25000"/>
    <x v="0"/>
    <x v="6"/>
  </r>
  <r>
    <d v="2026-09-01T00:00:00"/>
    <s v="ORD0011"/>
    <s v="CUST055"/>
    <s v="Customer_9"/>
    <x v="1"/>
    <s v="P013"/>
    <x v="5"/>
    <x v="2"/>
    <n v="9"/>
    <n v="320000"/>
    <n v="250000"/>
    <n v="2880000"/>
    <n v="2250000"/>
    <n v="630000"/>
    <x v="2"/>
    <x v="4"/>
  </r>
  <r>
    <s v="03/01/2026"/>
    <s v="ORD0012"/>
    <s v="CUST069"/>
    <s v="Customer_35"/>
    <x v="4"/>
    <s v="P011"/>
    <x v="6"/>
    <x v="1"/>
    <n v="8"/>
    <n v="6000"/>
    <n v="3500"/>
    <n v="48000"/>
    <n v="28000"/>
    <n v="20000"/>
    <x v="2"/>
    <x v="7"/>
  </r>
  <r>
    <s v="09/03/2026"/>
    <s v="ORD0013"/>
    <s v="CUST065"/>
    <s v="Customer_14"/>
    <x v="1"/>
    <s v="P010"/>
    <x v="4"/>
    <x v="0"/>
    <n v="7"/>
    <n v="55000"/>
    <n v="42000"/>
    <n v="385000"/>
    <n v="294000"/>
    <n v="91000"/>
    <x v="2"/>
    <x v="4"/>
  </r>
  <r>
    <d v="2026-06-05T00:00:00"/>
    <s v="ORD0014"/>
    <s v="CUST042"/>
    <s v="Customer_63"/>
    <x v="4"/>
    <s v="P001"/>
    <x v="5"/>
    <x v="2"/>
    <n v="6"/>
    <n v="320000"/>
    <n v="250000"/>
    <n v="1920000"/>
    <n v="1500000"/>
    <n v="420000"/>
    <x v="0"/>
    <x v="8"/>
  </r>
  <r>
    <s v="03/03/2026"/>
    <s v="ORD0015"/>
    <s v="CUST011"/>
    <s v="Customer_11"/>
    <x v="2"/>
    <s v="P016"/>
    <x v="4"/>
    <x v="0"/>
    <n v="15"/>
    <n v="55000"/>
    <n v="42000"/>
    <n v="825000"/>
    <n v="630000"/>
    <n v="195000"/>
    <x v="0"/>
    <x v="7"/>
  </r>
  <r>
    <s v="02/05/2026"/>
    <s v="ORD0016"/>
    <s v="CUST034"/>
    <s v="Customer_68"/>
    <x v="3"/>
    <s v="P020"/>
    <x v="7"/>
    <x v="0"/>
    <n v="13"/>
    <n v="14000"/>
    <n v="9500"/>
    <n v="182000"/>
    <n v="123500"/>
    <n v="58500"/>
    <x v="2"/>
    <x v="6"/>
  </r>
  <r>
    <d v="2026-12-06T00:00:00"/>
    <s v="ORD0017"/>
    <s v="CUST052"/>
    <s v="Customer_48"/>
    <x v="3"/>
    <s v="P015"/>
    <x v="1"/>
    <x v="1"/>
    <n v="15"/>
    <n v="12000"/>
    <n v="7000"/>
    <n v="180000"/>
    <n v="105000"/>
    <n v="75000"/>
    <x v="1"/>
    <x v="9"/>
  </r>
  <r>
    <s v="06/01/2026"/>
    <s v="ORD0018"/>
    <s v="CUST029"/>
    <s v="Customer_1"/>
    <x v="2"/>
    <s v="P003"/>
    <x v="1"/>
    <x v="1"/>
    <n v="4"/>
    <n v="12000"/>
    <n v="7000"/>
    <n v="48000"/>
    <n v="28000"/>
    <n v="20000"/>
    <x v="2"/>
    <x v="8"/>
  </r>
  <r>
    <d v="2026-10-01T00:00:00"/>
    <s v="ORD0019"/>
    <s v="CUST063"/>
    <s v="Customer_28"/>
    <x v="2"/>
    <s v="P018"/>
    <x v="0"/>
    <x v="0"/>
    <n v="2"/>
    <n v="18000"/>
    <n v="12000"/>
    <n v="36000"/>
    <n v="24000"/>
    <n v="12000"/>
    <x v="1"/>
    <x v="1"/>
  </r>
  <r>
    <s v="02/05/2026"/>
    <s v="ORD0020"/>
    <s v="CUST053"/>
    <s v="Customer_25"/>
    <x v="4"/>
    <s v="P004"/>
    <x v="8"/>
    <x v="2"/>
    <n v="15"/>
    <n v="25000"/>
    <n v="15000"/>
    <n v="375000"/>
    <n v="225000"/>
    <n v="150000"/>
    <x v="1"/>
    <x v="6"/>
  </r>
  <r>
    <d v="2026-03-04T00:00:00"/>
    <s v="ORD0021"/>
    <s v="CUST013"/>
    <s v="Customer_8"/>
    <x v="5"/>
    <s v="P013"/>
    <x v="7"/>
    <x v="0"/>
    <n v="7"/>
    <n v="14000"/>
    <n v="9500"/>
    <n v="98000"/>
    <n v="66500"/>
    <n v="31500"/>
    <x v="2"/>
    <x v="7"/>
  </r>
  <r>
    <d v="2026-04-05T00:00:00"/>
    <s v="ORD0022"/>
    <s v="CUST036"/>
    <s v="Customer_60"/>
    <x v="4"/>
    <s v="P008"/>
    <x v="3"/>
    <x v="3"/>
    <n v="4"/>
    <n v="65000"/>
    <n v="50000"/>
    <n v="260000"/>
    <n v="200000"/>
    <n v="60000"/>
    <x v="2"/>
    <x v="2"/>
  </r>
  <r>
    <d v="2026-06-01T00:00:00"/>
    <s v="ORD0023"/>
    <s v="CUST002"/>
    <s v="Customer_12"/>
    <x v="4"/>
    <s v="P008"/>
    <x v="4"/>
    <x v="0"/>
    <n v="13"/>
    <n v="55000"/>
    <n v="42000"/>
    <n v="715000"/>
    <n v="546000"/>
    <n v="169000"/>
    <x v="0"/>
    <x v="8"/>
  </r>
  <r>
    <d v="2026-12-01T00:00:00"/>
    <s v="ORD0024"/>
    <s v="CUST050"/>
    <s v="Customer_34"/>
    <x v="5"/>
    <s v="P015"/>
    <x v="2"/>
    <x v="2"/>
    <n v="8"/>
    <n v="180000"/>
    <n v="140000"/>
    <n v="1440000"/>
    <n v="1120000"/>
    <n v="320000"/>
    <x v="2"/>
    <x v="9"/>
  </r>
  <r>
    <d v="2026-09-06T00:00:00"/>
    <s v="ORD0025"/>
    <s v="CUST025"/>
    <s v="Customer_38"/>
    <x v="4"/>
    <s v="P007"/>
    <x v="9"/>
    <x v="3"/>
    <n v="12"/>
    <n v="45000"/>
    <n v="32000"/>
    <n v="540000"/>
    <n v="384000"/>
    <n v="156000"/>
    <x v="2"/>
    <x v="4"/>
  </r>
  <r>
    <d v="2026-02-03T00:00:00"/>
    <s v="ORD0026"/>
    <s v="CUST062"/>
    <s v="Customer_65"/>
    <x v="3"/>
    <s v="P017"/>
    <x v="7"/>
    <x v="0"/>
    <n v="12"/>
    <n v="14000"/>
    <n v="9500"/>
    <n v="168000"/>
    <n v="114000"/>
    <n v="54000"/>
    <x v="0"/>
    <x v="6"/>
  </r>
  <r>
    <d v="2026-08-01T00:00:00"/>
    <s v="ORD0027"/>
    <s v="CUST031"/>
    <s v="Customer_52"/>
    <x v="0"/>
    <s v="P004"/>
    <x v="5"/>
    <x v="2"/>
    <n v="9"/>
    <n v="320000"/>
    <n v="250000"/>
    <n v="2880000"/>
    <n v="2250000"/>
    <n v="630000"/>
    <x v="0"/>
    <x v="3"/>
  </r>
  <r>
    <d v="2026-08-04T00:00:00"/>
    <s v="ORD0028"/>
    <s v="CUST067"/>
    <s v="Customer_41"/>
    <x v="1"/>
    <s v="P009"/>
    <x v="8"/>
    <x v="2"/>
    <n v="10"/>
    <n v="25000"/>
    <n v="15000"/>
    <n v="250000"/>
    <n v="150000"/>
    <n v="100000"/>
    <x v="0"/>
    <x v="3"/>
  </r>
  <r>
    <s v="12/04/2026"/>
    <s v="ORD0029"/>
    <s v="CUST039"/>
    <s v="Customer_59"/>
    <x v="2"/>
    <s v="P011"/>
    <x v="8"/>
    <x v="2"/>
    <n v="12"/>
    <n v="25000"/>
    <n v="15000"/>
    <n v="300000"/>
    <n v="180000"/>
    <n v="120000"/>
    <x v="0"/>
    <x v="9"/>
  </r>
  <r>
    <d v="2026-02-04T00:00:00"/>
    <s v="ORD0030"/>
    <s v="CUST065"/>
    <s v="Customer_34"/>
    <x v="4"/>
    <s v="P005"/>
    <x v="0"/>
    <x v="0"/>
    <n v="8"/>
    <n v="18000"/>
    <n v="12000"/>
    <n v="144000"/>
    <n v="96000"/>
    <n v="48000"/>
    <x v="2"/>
    <x v="6"/>
  </r>
  <r>
    <s v="10/02/2026"/>
    <s v="ORD0031"/>
    <s v="CUST039"/>
    <s v="Customer_68"/>
    <x v="2"/>
    <s v="P001"/>
    <x v="3"/>
    <x v="3"/>
    <n v="15"/>
    <n v="65000"/>
    <n v="50000"/>
    <n v="975000"/>
    <n v="750000"/>
    <n v="225000"/>
    <x v="0"/>
    <x v="1"/>
  </r>
  <r>
    <s v="09/03/2026"/>
    <s v="ORD0032"/>
    <s v="CUST020"/>
    <s v="Customer_35"/>
    <x v="0"/>
    <s v="P010"/>
    <x v="10"/>
    <x v="3"/>
    <n v="2"/>
    <n v="28000"/>
    <n v="21000"/>
    <n v="56000"/>
    <n v="42000"/>
    <n v="14000"/>
    <x v="2"/>
    <x v="4"/>
  </r>
  <r>
    <s v="09/03/2026"/>
    <s v="ORD0033"/>
    <s v="CUST007"/>
    <s v="Customer_12"/>
    <x v="3"/>
    <s v="P014"/>
    <x v="8"/>
    <x v="2"/>
    <n v="6"/>
    <n v="25000"/>
    <n v="15000"/>
    <n v="150000"/>
    <n v="90000"/>
    <n v="60000"/>
    <x v="1"/>
    <x v="4"/>
  </r>
  <r>
    <d v="2026-12-03T00:00:00"/>
    <s v="ORD0034"/>
    <s v="CUST057"/>
    <s v="Customer_55"/>
    <x v="0"/>
    <s v="P018"/>
    <x v="3"/>
    <x v="3"/>
    <n v="1"/>
    <n v="65000"/>
    <n v="50000"/>
    <n v="65000"/>
    <n v="50000"/>
    <n v="15000"/>
    <x v="2"/>
    <x v="9"/>
  </r>
  <r>
    <s v="08/02/2026"/>
    <s v="ORD0035"/>
    <s v="CUST019"/>
    <s v="Customer_56"/>
    <x v="3"/>
    <s v="P005"/>
    <x v="0"/>
    <x v="0"/>
    <n v="2"/>
    <n v="18000"/>
    <n v="12000"/>
    <n v="36000"/>
    <n v="24000"/>
    <n v="12000"/>
    <x v="1"/>
    <x v="3"/>
  </r>
  <r>
    <s v="02/04/2026"/>
    <s v="ORD0036"/>
    <s v="CUST014"/>
    <s v="Customer_46"/>
    <x v="1"/>
    <s v="P018"/>
    <x v="4"/>
    <x v="0"/>
    <n v="6"/>
    <n v="55000"/>
    <n v="42000"/>
    <n v="330000"/>
    <n v="252000"/>
    <n v="78000"/>
    <x v="2"/>
    <x v="6"/>
  </r>
  <r>
    <s v="11/02/2026"/>
    <s v="ORD0037"/>
    <s v="CUST053"/>
    <s v="Customer_4"/>
    <x v="0"/>
    <s v="P006"/>
    <x v="6"/>
    <x v="1"/>
    <n v="12"/>
    <n v="6000"/>
    <n v="3500"/>
    <n v="72000"/>
    <n v="42000"/>
    <n v="30000"/>
    <x v="2"/>
    <x v="10"/>
  </r>
  <r>
    <s v="05/03/2026"/>
    <s v="ORD0038"/>
    <s v="CUST014"/>
    <s v="Customer_49"/>
    <x v="3"/>
    <s v="P002"/>
    <x v="9"/>
    <x v="3"/>
    <n v="13"/>
    <n v="45000"/>
    <n v="32000"/>
    <n v="585000"/>
    <n v="416000"/>
    <n v="169000"/>
    <x v="0"/>
    <x v="0"/>
  </r>
  <r>
    <d v="2026-03-05T00:00:00"/>
    <s v="ORD0039"/>
    <s v="CUST029"/>
    <s v="Customer_4"/>
    <x v="5"/>
    <s v="P007"/>
    <x v="1"/>
    <x v="1"/>
    <n v="4"/>
    <n v="12000"/>
    <n v="7000"/>
    <n v="48000"/>
    <n v="28000"/>
    <n v="20000"/>
    <x v="2"/>
    <x v="7"/>
  </r>
  <r>
    <d v="2026-03-06T00:00:00"/>
    <s v="ORD0040"/>
    <s v="CUST069"/>
    <s v="Customer_43"/>
    <x v="2"/>
    <s v="P001"/>
    <x v="11"/>
    <x v="1"/>
    <n v="5"/>
    <n v="25000"/>
    <n v="18000"/>
    <n v="125000"/>
    <n v="90000"/>
    <n v="35000"/>
    <x v="1"/>
    <x v="7"/>
  </r>
  <r>
    <s v="10/01/2026"/>
    <s v="ORD0041"/>
    <s v="CUST045"/>
    <s v="Customer_41"/>
    <x v="2"/>
    <s v="P014"/>
    <x v="4"/>
    <x v="0"/>
    <n v="3"/>
    <n v="55000"/>
    <n v="42000"/>
    <n v="165000"/>
    <n v="126000"/>
    <n v="39000"/>
    <x v="1"/>
    <x v="1"/>
  </r>
  <r>
    <s v="12/01/2026"/>
    <s v="ORD0042"/>
    <s v="CUST067"/>
    <s v="Customer_69"/>
    <x v="2"/>
    <s v="P007"/>
    <x v="4"/>
    <x v="0"/>
    <n v="15"/>
    <n v="55000"/>
    <n v="42000"/>
    <n v="825000"/>
    <n v="630000"/>
    <n v="195000"/>
    <x v="2"/>
    <x v="9"/>
  </r>
  <r>
    <s v="09/06/2026"/>
    <s v="ORD0043"/>
    <s v="CUST039"/>
    <s v="Customer_65"/>
    <x v="2"/>
    <s v="P010"/>
    <x v="9"/>
    <x v="3"/>
    <n v="2"/>
    <n v="45000"/>
    <n v="32000"/>
    <n v="90000"/>
    <n v="64000"/>
    <n v="26000"/>
    <x v="2"/>
    <x v="4"/>
  </r>
  <r>
    <s v="02/02/2026"/>
    <s v="ORD0044"/>
    <s v="CUST049"/>
    <s v="Customer_23"/>
    <x v="4"/>
    <s v="P020"/>
    <x v="11"/>
    <x v="1"/>
    <n v="7"/>
    <n v="25000"/>
    <n v="18000"/>
    <n v="175000"/>
    <n v="126000"/>
    <n v="49000"/>
    <x v="0"/>
    <x v="6"/>
  </r>
  <r>
    <d v="2026-01-02T00:00:00"/>
    <s v="ORD0045"/>
    <s v="CUST042"/>
    <s v="Customer_60"/>
    <x v="2"/>
    <s v="P015"/>
    <x v="9"/>
    <x v="3"/>
    <n v="9"/>
    <n v="45000"/>
    <n v="32000"/>
    <n v="405000"/>
    <n v="288000"/>
    <n v="117000"/>
    <x v="0"/>
    <x v="11"/>
  </r>
  <r>
    <d v="2026-01-02T00:00:00"/>
    <s v="ORD0046"/>
    <s v="CUST066"/>
    <s v="Customer_43"/>
    <x v="3"/>
    <s v="P003"/>
    <x v="6"/>
    <x v="1"/>
    <n v="4"/>
    <n v="6000"/>
    <n v="3500"/>
    <n v="24000"/>
    <n v="14000"/>
    <n v="10000"/>
    <x v="1"/>
    <x v="11"/>
  </r>
  <r>
    <s v="07/02/2026"/>
    <s v="ORD0047"/>
    <s v="CUST032"/>
    <s v="Customer_61"/>
    <x v="0"/>
    <s v="P020"/>
    <x v="8"/>
    <x v="2"/>
    <n v="5"/>
    <n v="25000"/>
    <n v="15000"/>
    <n v="125000"/>
    <n v="75000"/>
    <n v="50000"/>
    <x v="0"/>
    <x v="5"/>
  </r>
  <r>
    <d v="2026-12-03T00:00:00"/>
    <s v="ORD0048"/>
    <s v="CUST064"/>
    <s v="Customer_52"/>
    <x v="4"/>
    <s v="P008"/>
    <x v="4"/>
    <x v="0"/>
    <n v="7"/>
    <n v="55000"/>
    <n v="42000"/>
    <n v="385000"/>
    <n v="294000"/>
    <n v="91000"/>
    <x v="1"/>
    <x v="9"/>
  </r>
  <r>
    <d v="2026-01-07T00:00:00"/>
    <s v="ORD0049"/>
    <s v="CUST067"/>
    <s v="Customer_60"/>
    <x v="1"/>
    <s v="P002"/>
    <x v="8"/>
    <x v="2"/>
    <n v="12"/>
    <n v="25000"/>
    <n v="15000"/>
    <n v="300000"/>
    <n v="180000"/>
    <n v="120000"/>
    <x v="0"/>
    <x v="11"/>
  </r>
  <r>
    <d v="2026-12-06T00:00:00"/>
    <s v="ORD0050"/>
    <s v="CUST041"/>
    <s v="Customer_57"/>
    <x v="5"/>
    <s v="P020"/>
    <x v="5"/>
    <x v="2"/>
    <n v="8"/>
    <n v="320000"/>
    <n v="250000"/>
    <n v="2560000"/>
    <n v="2000000"/>
    <n v="560000"/>
    <x v="0"/>
    <x v="9"/>
  </r>
  <r>
    <s v="02/05/2026"/>
    <s v="ORD0051"/>
    <s v="CUST036"/>
    <s v="Customer_67"/>
    <x v="3"/>
    <s v="P016"/>
    <x v="6"/>
    <x v="1"/>
    <n v="8"/>
    <n v="6000"/>
    <n v="3500"/>
    <n v="48000"/>
    <n v="28000"/>
    <n v="20000"/>
    <x v="2"/>
    <x v="6"/>
  </r>
  <r>
    <s v="02/03/2026"/>
    <s v="ORD0052"/>
    <s v="CUST070"/>
    <s v="Customer_11"/>
    <x v="2"/>
    <s v="P005"/>
    <x v="2"/>
    <x v="2"/>
    <n v="8"/>
    <n v="180000"/>
    <n v="140000"/>
    <n v="1440000"/>
    <n v="1120000"/>
    <n v="320000"/>
    <x v="1"/>
    <x v="6"/>
  </r>
  <r>
    <d v="2026-02-07T00:00:00"/>
    <s v="ORD0053"/>
    <s v="CUST043"/>
    <s v="Customer_70"/>
    <x v="3"/>
    <s v="P015"/>
    <x v="5"/>
    <x v="2"/>
    <n v="7"/>
    <n v="320000"/>
    <n v="250000"/>
    <n v="2240000"/>
    <n v="1750000"/>
    <n v="490000"/>
    <x v="1"/>
    <x v="6"/>
  </r>
  <r>
    <d v="2026-03-02T00:00:00"/>
    <s v="ORD0054"/>
    <s v="CUST049"/>
    <s v="Customer_62"/>
    <x v="5"/>
    <s v="P001"/>
    <x v="1"/>
    <x v="1"/>
    <n v="4"/>
    <n v="12000"/>
    <n v="7000"/>
    <n v="48000"/>
    <n v="28000"/>
    <n v="20000"/>
    <x v="2"/>
    <x v="7"/>
  </r>
  <r>
    <d v="2026-08-07T00:00:00"/>
    <s v="ORD0055"/>
    <s v="CUST029"/>
    <s v="Customer_63"/>
    <x v="5"/>
    <s v="P008"/>
    <x v="9"/>
    <x v="3"/>
    <n v="13"/>
    <n v="45000"/>
    <n v="32000"/>
    <n v="585000"/>
    <n v="416000"/>
    <n v="169000"/>
    <x v="0"/>
    <x v="3"/>
  </r>
  <r>
    <d v="2026-02-09T00:00:00"/>
    <s v="ORD0056"/>
    <s v="CUST022"/>
    <s v="Customer_60"/>
    <x v="2"/>
    <s v="P005"/>
    <x v="9"/>
    <x v="3"/>
    <n v="8"/>
    <n v="45000"/>
    <n v="32000"/>
    <n v="360000"/>
    <n v="256000"/>
    <n v="104000"/>
    <x v="1"/>
    <x v="6"/>
  </r>
  <r>
    <d v="2026-08-09T00:00:00"/>
    <s v="ORD0057"/>
    <s v="CUST060"/>
    <s v="Customer_24"/>
    <x v="1"/>
    <s v="P002"/>
    <x v="4"/>
    <x v="0"/>
    <n v="10"/>
    <n v="55000"/>
    <n v="42000"/>
    <n v="550000"/>
    <n v="420000"/>
    <n v="130000"/>
    <x v="2"/>
    <x v="3"/>
  </r>
  <r>
    <d v="2026-08-07T00:00:00"/>
    <s v="ORD0058"/>
    <s v="CUST036"/>
    <s v="Customer_54"/>
    <x v="2"/>
    <s v="P009"/>
    <x v="9"/>
    <x v="3"/>
    <n v="6"/>
    <n v="45000"/>
    <n v="32000"/>
    <n v="270000"/>
    <n v="192000"/>
    <n v="78000"/>
    <x v="1"/>
    <x v="3"/>
  </r>
  <r>
    <d v="2026-03-05T00:00:00"/>
    <s v="ORD0059"/>
    <s v="CUST006"/>
    <s v="Customer_4"/>
    <x v="1"/>
    <s v="P008"/>
    <x v="4"/>
    <x v="0"/>
    <n v="1"/>
    <n v="55000"/>
    <n v="42000"/>
    <n v="55000"/>
    <n v="42000"/>
    <n v="13000"/>
    <x v="2"/>
    <x v="7"/>
  </r>
  <r>
    <s v="02/05/2026"/>
    <s v="ORD0060"/>
    <s v="CUST028"/>
    <s v="Customer_60"/>
    <x v="0"/>
    <s v="P009"/>
    <x v="5"/>
    <x v="2"/>
    <n v="10"/>
    <n v="320000"/>
    <n v="250000"/>
    <n v="3200000"/>
    <n v="2500000"/>
    <n v="700000"/>
    <x v="0"/>
    <x v="6"/>
  </r>
  <r>
    <d v="2026-03-09T00:00:00"/>
    <s v="ORD0061"/>
    <s v="CUST040"/>
    <s v="Customer_14"/>
    <x v="3"/>
    <s v="P019"/>
    <x v="3"/>
    <x v="3"/>
    <n v="10"/>
    <n v="65000"/>
    <n v="50000"/>
    <n v="650000"/>
    <n v="500000"/>
    <n v="150000"/>
    <x v="2"/>
    <x v="7"/>
  </r>
  <r>
    <s v="12/04/2026"/>
    <s v="ORD0062"/>
    <s v="CUST010"/>
    <s v="Customer_32"/>
    <x v="5"/>
    <s v="P004"/>
    <x v="4"/>
    <x v="0"/>
    <n v="10"/>
    <n v="55000"/>
    <n v="42000"/>
    <n v="550000"/>
    <n v="420000"/>
    <n v="130000"/>
    <x v="2"/>
    <x v="9"/>
  </r>
  <r>
    <s v="11/01/2026"/>
    <s v="ORD0063"/>
    <s v="CUST048"/>
    <s v="Customer_9"/>
    <x v="4"/>
    <s v="P017"/>
    <x v="10"/>
    <x v="3"/>
    <n v="10"/>
    <n v="28000"/>
    <n v="21000"/>
    <n v="280000"/>
    <n v="210000"/>
    <n v="70000"/>
    <x v="1"/>
    <x v="10"/>
  </r>
  <r>
    <d v="2026-08-05T00:00:00"/>
    <s v="ORD0064"/>
    <s v="CUST059"/>
    <s v="Customer_20"/>
    <x v="5"/>
    <s v="P014"/>
    <x v="3"/>
    <x v="3"/>
    <n v="14"/>
    <n v="65000"/>
    <n v="50000"/>
    <n v="910000"/>
    <n v="700000"/>
    <n v="210000"/>
    <x v="1"/>
    <x v="3"/>
  </r>
  <r>
    <s v="07/06/2026"/>
    <s v="ORD0065"/>
    <s v="CUST062"/>
    <s v="Customer_60"/>
    <x v="2"/>
    <s v="P014"/>
    <x v="8"/>
    <x v="2"/>
    <n v="9"/>
    <n v="25000"/>
    <n v="15000"/>
    <n v="225000"/>
    <n v="135000"/>
    <n v="90000"/>
    <x v="0"/>
    <x v="5"/>
  </r>
  <r>
    <d v="2026-01-31T00:00:00"/>
    <s v="ORD0066"/>
    <s v="CUST060"/>
    <s v="Customer_49"/>
    <x v="1"/>
    <s v="P011"/>
    <x v="9"/>
    <x v="3"/>
    <n v="14"/>
    <n v="45000"/>
    <n v="32000"/>
    <n v="630000"/>
    <n v="448000"/>
    <n v="182000"/>
    <x v="2"/>
    <x v="11"/>
  </r>
  <r>
    <d v="2026-04-19T00:00:00"/>
    <s v="ORD0067"/>
    <s v="CUST044"/>
    <s v="Customer_36"/>
    <x v="5"/>
    <s v="P020"/>
    <x v="4"/>
    <x v="0"/>
    <n v="14"/>
    <n v="55000"/>
    <n v="42000"/>
    <n v="770000"/>
    <n v="588000"/>
    <n v="182000"/>
    <x v="1"/>
    <x v="2"/>
  </r>
  <r>
    <d v="2026-07-30T00:00:00"/>
    <s v="ORD0068"/>
    <s v="CUST063"/>
    <s v="Customer_31"/>
    <x v="0"/>
    <s v="P016"/>
    <x v="10"/>
    <x v="3"/>
    <n v="1"/>
    <n v="28000"/>
    <n v="21000"/>
    <n v="28000"/>
    <n v="21000"/>
    <n v="7000"/>
    <x v="1"/>
    <x v="5"/>
  </r>
  <r>
    <d v="2026-06-29T00:00:00"/>
    <s v="ORD0069"/>
    <s v="CUST040"/>
    <s v="Customer_48"/>
    <x v="2"/>
    <s v="P016"/>
    <x v="11"/>
    <x v="1"/>
    <n v="13"/>
    <n v="25000"/>
    <n v="18000"/>
    <n v="325000"/>
    <n v="234000"/>
    <n v="91000"/>
    <x v="2"/>
    <x v="8"/>
  </r>
  <r>
    <d v="2026-04-28T00:00:00"/>
    <s v="ORD0070"/>
    <s v="CUST033"/>
    <s v="Customer_30"/>
    <x v="2"/>
    <s v="P004"/>
    <x v="9"/>
    <x v="3"/>
    <n v="12"/>
    <n v="45000"/>
    <n v="32000"/>
    <n v="540000"/>
    <n v="384000"/>
    <n v="156000"/>
    <x v="1"/>
    <x v="2"/>
  </r>
  <r>
    <d v="2026-09-13T00:00:00"/>
    <s v="ORD0071"/>
    <s v="CUST062"/>
    <s v="Customer_36"/>
    <x v="3"/>
    <s v="P019"/>
    <x v="2"/>
    <x v="2"/>
    <n v="2"/>
    <n v="180000"/>
    <n v="140000"/>
    <n v="360000"/>
    <n v="280000"/>
    <n v="80000"/>
    <x v="0"/>
    <x v="4"/>
  </r>
  <r>
    <s v="03/04/2026"/>
    <s v="ORD0072"/>
    <s v="CUST069"/>
    <s v="Customer_17"/>
    <x v="0"/>
    <s v="P009"/>
    <x v="3"/>
    <x v="3"/>
    <n v="14"/>
    <n v="65000"/>
    <n v="50000"/>
    <n v="910000"/>
    <n v="700000"/>
    <n v="210000"/>
    <x v="2"/>
    <x v="7"/>
  </r>
  <r>
    <d v="2026-08-07T00:00:00"/>
    <s v="ORD0073"/>
    <s v="CUST014"/>
    <s v="Customer_2"/>
    <x v="0"/>
    <s v="P019"/>
    <x v="0"/>
    <x v="0"/>
    <n v="9"/>
    <n v="18000"/>
    <n v="12000"/>
    <n v="162000"/>
    <n v="108000"/>
    <n v="54000"/>
    <x v="1"/>
    <x v="3"/>
  </r>
  <r>
    <d v="2026-03-20T00:00:00"/>
    <s v="ORD0074"/>
    <s v="CUST015"/>
    <s v="Customer_9"/>
    <x v="0"/>
    <s v="P013"/>
    <x v="9"/>
    <x v="3"/>
    <n v="8"/>
    <n v="45000"/>
    <n v="32000"/>
    <n v="360000"/>
    <n v="256000"/>
    <n v="104000"/>
    <x v="1"/>
    <x v="7"/>
  </r>
  <r>
    <s v="08/02/2026"/>
    <s v="ORD0075"/>
    <s v="CUST039"/>
    <s v="Customer_11"/>
    <x v="1"/>
    <s v="P008"/>
    <x v="1"/>
    <x v="1"/>
    <n v="10"/>
    <n v="12000"/>
    <n v="7000"/>
    <n v="120000"/>
    <n v="70000"/>
    <n v="50000"/>
    <x v="0"/>
    <x v="3"/>
  </r>
  <r>
    <s v="08/06/2026"/>
    <s v="ORD0076"/>
    <s v="CUST049"/>
    <s v="Customer_58"/>
    <x v="4"/>
    <s v="P015"/>
    <x v="7"/>
    <x v="0"/>
    <n v="13"/>
    <n v="14000"/>
    <n v="9500"/>
    <n v="182000"/>
    <n v="123500"/>
    <n v="58500"/>
    <x v="0"/>
    <x v="3"/>
  </r>
  <r>
    <d v="2026-06-09T00:00:00"/>
    <s v="ORD0077"/>
    <s v="CUST013"/>
    <s v="Customer_27"/>
    <x v="4"/>
    <s v="P007"/>
    <x v="10"/>
    <x v="3"/>
    <n v="7"/>
    <n v="28000"/>
    <n v="21000"/>
    <n v="196000"/>
    <n v="147000"/>
    <n v="49000"/>
    <x v="0"/>
    <x v="8"/>
  </r>
  <r>
    <d v="2026-03-18T00:00:00"/>
    <s v="ORD0078"/>
    <s v="CUST053"/>
    <s v="Customer_58"/>
    <x v="0"/>
    <s v="P020"/>
    <x v="10"/>
    <x v="3"/>
    <n v="2"/>
    <n v="28000"/>
    <n v="21000"/>
    <n v="56000"/>
    <n v="42000"/>
    <n v="14000"/>
    <x v="2"/>
    <x v="7"/>
  </r>
  <r>
    <d v="2026-09-25T00:00:00"/>
    <s v="ORD0079"/>
    <s v="CUST010"/>
    <s v="Customer_30"/>
    <x v="3"/>
    <s v="P009"/>
    <x v="11"/>
    <x v="1"/>
    <n v="1"/>
    <n v="25000"/>
    <n v="18000"/>
    <n v="25000"/>
    <n v="18000"/>
    <n v="7000"/>
    <x v="1"/>
    <x v="4"/>
  </r>
  <r>
    <s v="08/02/2026"/>
    <s v="ORD0080"/>
    <s v="CUST010"/>
    <s v="Customer_8"/>
    <x v="3"/>
    <s v="P006"/>
    <x v="2"/>
    <x v="2"/>
    <n v="2"/>
    <n v="180000"/>
    <n v="140000"/>
    <n v="360000"/>
    <n v="280000"/>
    <n v="80000"/>
    <x v="2"/>
    <x v="3"/>
  </r>
  <r>
    <d v="2026-09-26T00:00:00"/>
    <s v="ORD0081"/>
    <s v="CUST039"/>
    <s v="Customer_52"/>
    <x v="2"/>
    <s v="P009"/>
    <x v="10"/>
    <x v="3"/>
    <n v="12"/>
    <n v="28000"/>
    <n v="21000"/>
    <n v="336000"/>
    <n v="252000"/>
    <n v="84000"/>
    <x v="0"/>
    <x v="4"/>
  </r>
  <r>
    <d v="1905-07-18T00:00:00"/>
    <s v="ORD0082"/>
    <s v="CUST012"/>
    <s v="Customer_30"/>
    <x v="5"/>
    <s v="P019"/>
    <x v="11"/>
    <x v="1"/>
    <n v="2"/>
    <n v="25000"/>
    <n v="18000"/>
    <n v="50000"/>
    <n v="36000"/>
    <n v="14000"/>
    <x v="2"/>
    <x v="5"/>
  </r>
  <r>
    <d v="2026-11-10T00:00:00"/>
    <s v="ORD0083"/>
    <s v="CUST057"/>
    <s v="Customer_36"/>
    <x v="1"/>
    <s v="P006"/>
    <x v="7"/>
    <x v="0"/>
    <n v="14"/>
    <n v="14000"/>
    <n v="9500"/>
    <n v="196000"/>
    <n v="133000"/>
    <n v="63000"/>
    <x v="0"/>
    <x v="10"/>
  </r>
  <r>
    <s v="01/05/2026"/>
    <s v="ORD0084"/>
    <s v="CUST042"/>
    <s v="Customer_14"/>
    <x v="1"/>
    <s v="P006"/>
    <x v="6"/>
    <x v="1"/>
    <n v="14"/>
    <n v="6000"/>
    <n v="3500"/>
    <n v="84000"/>
    <n v="49000"/>
    <n v="35000"/>
    <x v="1"/>
    <x v="11"/>
  </r>
  <r>
    <d v="2026-12-21T00:00:00"/>
    <s v="ORD0085"/>
    <s v="CUST005"/>
    <s v="Customer_59"/>
    <x v="3"/>
    <s v="P003"/>
    <x v="9"/>
    <x v="3"/>
    <n v="12"/>
    <n v="45000"/>
    <n v="32000"/>
    <n v="540000"/>
    <n v="384000"/>
    <n v="156000"/>
    <x v="0"/>
    <x v="9"/>
  </r>
  <r>
    <s v="12/05/2026"/>
    <s v="ORD0086"/>
    <s v="CUST070"/>
    <s v="Customer_60"/>
    <x v="5"/>
    <s v="P014"/>
    <x v="9"/>
    <x v="3"/>
    <n v="6"/>
    <n v="45000"/>
    <n v="32000"/>
    <n v="270000"/>
    <n v="192000"/>
    <n v="78000"/>
    <x v="2"/>
    <x v="9"/>
  </r>
  <r>
    <s v="10/06/2026"/>
    <s v="ORD0087"/>
    <s v="CUST027"/>
    <s v="Customer_35"/>
    <x v="5"/>
    <s v="P018"/>
    <x v="0"/>
    <x v="0"/>
    <n v="9"/>
    <n v="18000"/>
    <n v="12000"/>
    <n v="162000"/>
    <n v="108000"/>
    <n v="54000"/>
    <x v="2"/>
    <x v="1"/>
  </r>
  <r>
    <s v="01/02/2026"/>
    <s v="ORD0088"/>
    <s v="CUST031"/>
    <s v="Customer_21"/>
    <x v="5"/>
    <s v="P010"/>
    <x v="2"/>
    <x v="2"/>
    <n v="8"/>
    <n v="180000"/>
    <n v="140000"/>
    <n v="1440000"/>
    <n v="1120000"/>
    <n v="320000"/>
    <x v="1"/>
    <x v="11"/>
  </r>
  <r>
    <d v="2026-09-13T00:00:00"/>
    <s v="ORD0089"/>
    <s v="CUST020"/>
    <s v="Customer_64"/>
    <x v="1"/>
    <s v="P010"/>
    <x v="7"/>
    <x v="0"/>
    <n v="7"/>
    <n v="14000"/>
    <n v="9500"/>
    <n v="98000"/>
    <n v="66500"/>
    <n v="31500"/>
    <x v="2"/>
    <x v="4"/>
  </r>
  <r>
    <s v="04/03/2026"/>
    <s v="ORD0090"/>
    <s v="CUST050"/>
    <s v="Customer_25"/>
    <x v="5"/>
    <s v="P020"/>
    <x v="9"/>
    <x v="3"/>
    <n v="14"/>
    <n v="45000"/>
    <n v="32000"/>
    <n v="630000"/>
    <n v="448000"/>
    <n v="182000"/>
    <x v="2"/>
    <x v="2"/>
  </r>
  <r>
    <d v="2026-09-08T00:00:00"/>
    <s v="ORD0091"/>
    <s v="CUST035"/>
    <s v="Customer_1"/>
    <x v="5"/>
    <s v="P010"/>
    <x v="5"/>
    <x v="2"/>
    <n v="5"/>
    <n v="320000"/>
    <n v="250000"/>
    <n v="1600000"/>
    <n v="1250000"/>
    <n v="350000"/>
    <x v="0"/>
    <x v="4"/>
  </r>
  <r>
    <s v="08/02/2026"/>
    <s v="ORD0092"/>
    <s v="CUST045"/>
    <s v="Customer_43"/>
    <x v="5"/>
    <s v="P018"/>
    <x v="10"/>
    <x v="3"/>
    <n v="10"/>
    <n v="28000"/>
    <n v="21000"/>
    <n v="280000"/>
    <n v="210000"/>
    <n v="70000"/>
    <x v="1"/>
    <x v="3"/>
  </r>
  <r>
    <d v="2026-07-26T00:00:00"/>
    <s v="ORD0093"/>
    <s v="CUST030"/>
    <s v="Customer_53"/>
    <x v="0"/>
    <s v="P002"/>
    <x v="11"/>
    <x v="1"/>
    <n v="15"/>
    <n v="25000"/>
    <n v="18000"/>
    <n v="375000"/>
    <n v="270000"/>
    <n v="105000"/>
    <x v="1"/>
    <x v="5"/>
  </r>
  <r>
    <s v="09/04/2026"/>
    <s v="ORD0094"/>
    <s v="CUST020"/>
    <s v="Customer_64"/>
    <x v="5"/>
    <s v="P002"/>
    <x v="10"/>
    <x v="3"/>
    <n v="8"/>
    <n v="28000"/>
    <n v="21000"/>
    <n v="224000"/>
    <n v="168000"/>
    <n v="56000"/>
    <x v="0"/>
    <x v="4"/>
  </r>
  <r>
    <d v="2026-12-23T00:00:00"/>
    <s v="ORD0095"/>
    <s v="CUST002"/>
    <s v="Customer_19"/>
    <x v="1"/>
    <s v="P014"/>
    <x v="8"/>
    <x v="2"/>
    <n v="10"/>
    <n v="25000"/>
    <n v="15000"/>
    <n v="250000"/>
    <n v="150000"/>
    <n v="100000"/>
    <x v="1"/>
    <x v="9"/>
  </r>
  <r>
    <d v="2026-10-10T00:00:00"/>
    <s v="ORD0096"/>
    <s v="CUST011"/>
    <s v="Customer_43"/>
    <x v="2"/>
    <s v="P018"/>
    <x v="5"/>
    <x v="2"/>
    <n v="8"/>
    <n v="320000"/>
    <n v="250000"/>
    <n v="2560000"/>
    <n v="2000000"/>
    <n v="560000"/>
    <x v="1"/>
    <x v="1"/>
  </r>
  <r>
    <d v="2026-12-24T00:00:00"/>
    <s v="ORD0097"/>
    <s v="CUST009"/>
    <s v="Customer_31"/>
    <x v="5"/>
    <s v="P010"/>
    <x v="11"/>
    <x v="1"/>
    <n v="11"/>
    <n v="25000"/>
    <n v="18000"/>
    <n v="275000"/>
    <n v="198000"/>
    <n v="77000"/>
    <x v="0"/>
    <x v="9"/>
  </r>
  <r>
    <s v="12/06/2026"/>
    <s v="ORD0098"/>
    <s v="CUST057"/>
    <s v="Customer_22"/>
    <x v="1"/>
    <s v="P010"/>
    <x v="8"/>
    <x v="2"/>
    <n v="2"/>
    <n v="25000"/>
    <n v="15000"/>
    <n v="50000"/>
    <n v="30000"/>
    <n v="20000"/>
    <x v="2"/>
    <x v="9"/>
  </r>
  <r>
    <s v="02/04/2026"/>
    <s v="ORD0099"/>
    <s v="CUST032"/>
    <s v="Customer_68"/>
    <x v="2"/>
    <s v="P014"/>
    <x v="0"/>
    <x v="0"/>
    <n v="6"/>
    <n v="18000"/>
    <n v="12000"/>
    <n v="108000"/>
    <n v="72000"/>
    <n v="36000"/>
    <x v="2"/>
    <x v="6"/>
  </r>
  <r>
    <s v="08/06/2026"/>
    <s v="ORD0100"/>
    <s v="CUST019"/>
    <s v="Customer_30"/>
    <x v="5"/>
    <s v="P015"/>
    <x v="5"/>
    <x v="2"/>
    <n v="3"/>
    <n v="320000"/>
    <n v="250000"/>
    <n v="960000"/>
    <n v="750000"/>
    <n v="210000"/>
    <x v="1"/>
    <x v="3"/>
  </r>
  <r>
    <d v="2026-08-07T00:00:00"/>
    <s v="ORD0101"/>
    <s v="CUST010"/>
    <s v="Customer_57"/>
    <x v="5"/>
    <s v="P012"/>
    <x v="9"/>
    <x v="3"/>
    <n v="5"/>
    <n v="45000"/>
    <n v="32000"/>
    <n v="225000"/>
    <n v="160000"/>
    <n v="65000"/>
    <x v="2"/>
    <x v="3"/>
  </r>
  <r>
    <d v="2026-12-27T00:00:00"/>
    <s v="ORD0102"/>
    <s v="CUST062"/>
    <s v="Customer_14"/>
    <x v="5"/>
    <s v="P008"/>
    <x v="10"/>
    <x v="3"/>
    <n v="7"/>
    <n v="28000"/>
    <n v="21000"/>
    <n v="196000"/>
    <n v="147000"/>
    <n v="49000"/>
    <x v="1"/>
    <x v="9"/>
  </r>
  <r>
    <d v="2026-12-24T00:00:00"/>
    <s v="ORD0103"/>
    <s v="CUST051"/>
    <s v="Customer_36"/>
    <x v="3"/>
    <s v="P001"/>
    <x v="6"/>
    <x v="1"/>
    <n v="6"/>
    <n v="6000"/>
    <n v="3500"/>
    <n v="36000"/>
    <n v="21000"/>
    <n v="15000"/>
    <x v="1"/>
    <x v="9"/>
  </r>
  <r>
    <d v="2026-01-21T00:00:00"/>
    <s v="ORD0104"/>
    <s v="CUST029"/>
    <s v="Customer_25"/>
    <x v="2"/>
    <s v="P020"/>
    <x v="7"/>
    <x v="0"/>
    <n v="12"/>
    <n v="14000"/>
    <n v="9500"/>
    <n v="168000"/>
    <n v="114000"/>
    <n v="54000"/>
    <x v="1"/>
    <x v="11"/>
  </r>
  <r>
    <d v="2026-02-09T00:00:00"/>
    <s v="ORD0105"/>
    <s v="CUST013"/>
    <s v="Customer_6"/>
    <x v="3"/>
    <s v="P010"/>
    <x v="10"/>
    <x v="3"/>
    <n v="13"/>
    <n v="28000"/>
    <n v="21000"/>
    <n v="364000"/>
    <n v="273000"/>
    <n v="91000"/>
    <x v="0"/>
    <x v="6"/>
  </r>
  <r>
    <d v="2026-03-03T00:00:00"/>
    <s v="ORD0106"/>
    <s v="CUST054"/>
    <s v="Customer_23"/>
    <x v="0"/>
    <s v="P007"/>
    <x v="1"/>
    <x v="1"/>
    <n v="10"/>
    <n v="12000"/>
    <n v="7000"/>
    <n v="120000"/>
    <n v="70000"/>
    <n v="50000"/>
    <x v="1"/>
    <x v="7"/>
  </r>
  <r>
    <s v="09/05/2026"/>
    <s v="ORD0107"/>
    <s v="CUST033"/>
    <s v="Customer_62"/>
    <x v="4"/>
    <s v="P010"/>
    <x v="8"/>
    <x v="2"/>
    <n v="15"/>
    <n v="25000"/>
    <n v="15000"/>
    <n v="375000"/>
    <n v="225000"/>
    <n v="150000"/>
    <x v="2"/>
    <x v="4"/>
  </r>
  <r>
    <d v="2026-06-07T00:00:00"/>
    <s v="ORD0108"/>
    <s v="CUST051"/>
    <s v="Customer_47"/>
    <x v="0"/>
    <s v="P003"/>
    <x v="3"/>
    <x v="3"/>
    <n v="8"/>
    <n v="65000"/>
    <n v="50000"/>
    <n v="520000"/>
    <n v="400000"/>
    <n v="120000"/>
    <x v="0"/>
    <x v="8"/>
  </r>
  <r>
    <s v="05/04/2026"/>
    <s v="ORD0109"/>
    <s v="CUST034"/>
    <s v="Customer_49"/>
    <x v="5"/>
    <s v="P012"/>
    <x v="1"/>
    <x v="1"/>
    <n v="5"/>
    <n v="12000"/>
    <n v="7000"/>
    <n v="60000"/>
    <n v="35000"/>
    <n v="25000"/>
    <x v="0"/>
    <x v="0"/>
  </r>
  <r>
    <d v="2026-05-05T00:00:00"/>
    <s v="ORD0110"/>
    <s v="CUST029"/>
    <s v="Customer_9"/>
    <x v="4"/>
    <s v="P015"/>
    <x v="7"/>
    <x v="0"/>
    <n v="4"/>
    <n v="14000"/>
    <n v="9500"/>
    <n v="56000"/>
    <n v="38000"/>
    <n v="18000"/>
    <x v="0"/>
    <x v="0"/>
  </r>
  <r>
    <s v="10/01/2026"/>
    <s v="ORD0111"/>
    <s v="CUST015"/>
    <s v="Customer_13"/>
    <x v="1"/>
    <s v="P008"/>
    <x v="10"/>
    <x v="3"/>
    <n v="7"/>
    <n v="28000"/>
    <n v="21000"/>
    <n v="196000"/>
    <n v="147000"/>
    <n v="49000"/>
    <x v="1"/>
    <x v="1"/>
  </r>
  <r>
    <d v="2026-07-02T00:00:00"/>
    <s v="ORD0112"/>
    <s v="CUST020"/>
    <s v="Customer_54"/>
    <x v="3"/>
    <s v="P004"/>
    <x v="2"/>
    <x v="2"/>
    <n v="8"/>
    <n v="180000"/>
    <n v="140000"/>
    <n v="1440000"/>
    <n v="1120000"/>
    <n v="320000"/>
    <x v="1"/>
    <x v="5"/>
  </r>
  <r>
    <s v="09/01/2026"/>
    <s v="ORD0113"/>
    <s v="CUST057"/>
    <s v="Customer_57"/>
    <x v="2"/>
    <s v="P008"/>
    <x v="6"/>
    <x v="1"/>
    <n v="7"/>
    <n v="6000"/>
    <n v="3500"/>
    <n v="42000"/>
    <n v="24500"/>
    <n v="17500"/>
    <x v="2"/>
    <x v="4"/>
  </r>
  <r>
    <s v="02/04/2026"/>
    <s v="ORD0114"/>
    <s v="CUST025"/>
    <s v="Customer_16"/>
    <x v="3"/>
    <s v="P015"/>
    <x v="3"/>
    <x v="3"/>
    <n v="11"/>
    <n v="65000"/>
    <n v="50000"/>
    <n v="715000"/>
    <n v="550000"/>
    <n v="165000"/>
    <x v="1"/>
    <x v="6"/>
  </r>
  <r>
    <s v="06/01/2026"/>
    <s v="ORD0115"/>
    <s v="CUST032"/>
    <s v="Customer_17"/>
    <x v="4"/>
    <s v="P019"/>
    <x v="7"/>
    <x v="0"/>
    <n v="4"/>
    <n v="14000"/>
    <n v="9500"/>
    <n v="56000"/>
    <n v="38000"/>
    <n v="18000"/>
    <x v="1"/>
    <x v="8"/>
  </r>
  <r>
    <d v="2026-12-30T00:00:00"/>
    <s v="ORD0116"/>
    <s v="CUST043"/>
    <s v="Customer_19"/>
    <x v="0"/>
    <s v="P020"/>
    <x v="5"/>
    <x v="2"/>
    <n v="14"/>
    <n v="320000"/>
    <n v="250000"/>
    <n v="4480000"/>
    <n v="3500000"/>
    <n v="980000"/>
    <x v="2"/>
    <x v="9"/>
  </r>
  <r>
    <d v="2026-03-04T00:00:00"/>
    <s v="ORD0117"/>
    <s v="CUST015"/>
    <s v="Customer_4"/>
    <x v="0"/>
    <s v="P005"/>
    <x v="4"/>
    <x v="0"/>
    <n v="14"/>
    <n v="55000"/>
    <n v="42000"/>
    <n v="770000"/>
    <n v="588000"/>
    <n v="182000"/>
    <x v="2"/>
    <x v="7"/>
  </r>
  <r>
    <d v="2026-03-04T00:00:00"/>
    <s v="ORD0118"/>
    <s v="CUST034"/>
    <s v="Customer_7"/>
    <x v="4"/>
    <s v="P005"/>
    <x v="4"/>
    <x v="0"/>
    <n v="13"/>
    <n v="55000"/>
    <n v="42000"/>
    <n v="715000"/>
    <n v="546000"/>
    <n v="169000"/>
    <x v="0"/>
    <x v="7"/>
  </r>
  <r>
    <d v="2026-09-28T00:00:00"/>
    <s v="ORD0119"/>
    <s v="CUST014"/>
    <s v="Customer_58"/>
    <x v="5"/>
    <s v="P017"/>
    <x v="6"/>
    <x v="1"/>
    <n v="2"/>
    <n v="6000"/>
    <n v="3500"/>
    <n v="12000"/>
    <n v="7000"/>
    <n v="5000"/>
    <x v="0"/>
    <x v="4"/>
  </r>
  <r>
    <d v="2026-04-27T00:00:00"/>
    <s v="ORD0120"/>
    <s v="CUST004"/>
    <s v="Customer_8"/>
    <x v="3"/>
    <s v="P016"/>
    <x v="8"/>
    <x v="2"/>
    <n v="1"/>
    <n v="25000"/>
    <n v="15000"/>
    <n v="25000"/>
    <n v="15000"/>
    <n v="10000"/>
    <x v="0"/>
    <x v="2"/>
  </r>
  <r>
    <d v="2026-03-04T00:00:00"/>
    <s v="ORD0121"/>
    <s v="CUST042"/>
    <s v="Customer_19"/>
    <x v="3"/>
    <s v="P003"/>
    <x v="11"/>
    <x v="1"/>
    <n v="11"/>
    <n v="25000"/>
    <n v="18000"/>
    <n v="275000"/>
    <n v="198000"/>
    <n v="77000"/>
    <x v="2"/>
    <x v="7"/>
  </r>
  <r>
    <d v="2026-07-12T00:00:00"/>
    <s v="ORD0122"/>
    <s v="CUST068"/>
    <s v="Customer_38"/>
    <x v="4"/>
    <s v="P015"/>
    <x v="2"/>
    <x v="2"/>
    <n v="10"/>
    <n v="180000"/>
    <n v="140000"/>
    <n v="1800000"/>
    <n v="1400000"/>
    <n v="400000"/>
    <x v="0"/>
    <x v="5"/>
  </r>
  <r>
    <d v="2026-03-21T00:00:00"/>
    <s v="ORD0123"/>
    <s v="CUST028"/>
    <s v="Customer_56"/>
    <x v="3"/>
    <s v="P015"/>
    <x v="1"/>
    <x v="1"/>
    <n v="13"/>
    <n v="12000"/>
    <n v="7000"/>
    <n v="156000"/>
    <n v="91000"/>
    <n v="65000"/>
    <x v="0"/>
    <x v="7"/>
  </r>
  <r>
    <d v="2026-07-04T00:00:00"/>
    <s v="ORD0124"/>
    <s v="CUST055"/>
    <s v="Customer_41"/>
    <x v="5"/>
    <s v="P009"/>
    <x v="2"/>
    <x v="2"/>
    <n v="6"/>
    <n v="180000"/>
    <n v="140000"/>
    <n v="1080000"/>
    <n v="840000"/>
    <n v="240000"/>
    <x v="1"/>
    <x v="5"/>
  </r>
  <r>
    <d v="2026-06-04T00:00:00"/>
    <s v="ORD0125"/>
    <s v="CUST056"/>
    <s v="Customer_13"/>
    <x v="1"/>
    <s v="P012"/>
    <x v="3"/>
    <x v="3"/>
    <n v="11"/>
    <n v="65000"/>
    <n v="50000"/>
    <n v="715000"/>
    <n v="550000"/>
    <n v="165000"/>
    <x v="2"/>
    <x v="8"/>
  </r>
  <r>
    <d v="2026-06-25T00:00:00"/>
    <s v="ORD0126"/>
    <s v="CUST053"/>
    <s v="Customer_46"/>
    <x v="4"/>
    <s v="P014"/>
    <x v="8"/>
    <x v="2"/>
    <n v="1"/>
    <n v="25000"/>
    <n v="15000"/>
    <n v="25000"/>
    <n v="15000"/>
    <n v="10000"/>
    <x v="2"/>
    <x v="8"/>
  </r>
  <r>
    <d v="2026-07-04T00:00:00"/>
    <s v="ORD0127"/>
    <s v="CUST062"/>
    <s v="Customer_29"/>
    <x v="1"/>
    <s v="P004"/>
    <x v="4"/>
    <x v="0"/>
    <n v="10"/>
    <n v="55000"/>
    <n v="42000"/>
    <n v="550000"/>
    <n v="420000"/>
    <n v="130000"/>
    <x v="2"/>
    <x v="5"/>
  </r>
  <r>
    <d v="2026-09-05T00:00:00"/>
    <s v="ORD0128"/>
    <s v="CUST004"/>
    <s v="Customer_35"/>
    <x v="2"/>
    <s v="P001"/>
    <x v="10"/>
    <x v="3"/>
    <n v="6"/>
    <n v="28000"/>
    <n v="21000"/>
    <n v="168000"/>
    <n v="126000"/>
    <n v="42000"/>
    <x v="1"/>
    <x v="4"/>
  </r>
  <r>
    <d v="2026-09-21T00:00:00"/>
    <s v="ORD0129"/>
    <s v="CUST019"/>
    <s v="Customer_52"/>
    <x v="2"/>
    <s v="P003"/>
    <x v="2"/>
    <x v="2"/>
    <n v="12"/>
    <n v="180000"/>
    <n v="140000"/>
    <n v="2160000"/>
    <n v="1680000"/>
    <n v="480000"/>
    <x v="2"/>
    <x v="4"/>
  </r>
  <r>
    <d v="2026-05-04T00:00:00"/>
    <s v="ORD0130"/>
    <s v="CUST059"/>
    <s v="Customer_44"/>
    <x v="1"/>
    <s v="P006"/>
    <x v="8"/>
    <x v="2"/>
    <n v="11"/>
    <n v="25000"/>
    <n v="15000"/>
    <n v="275000"/>
    <n v="165000"/>
    <n v="110000"/>
    <x v="1"/>
    <x v="0"/>
  </r>
  <r>
    <s v="02/06/2026"/>
    <s v="ORD0131"/>
    <s v="CUST020"/>
    <s v="Customer_21"/>
    <x v="4"/>
    <s v="P020"/>
    <x v="9"/>
    <x v="3"/>
    <n v="12"/>
    <n v="45000"/>
    <n v="32000"/>
    <n v="540000"/>
    <n v="384000"/>
    <n v="156000"/>
    <x v="2"/>
    <x v="6"/>
  </r>
  <r>
    <d v="2026-09-04T00:00:00"/>
    <s v="ORD0132"/>
    <s v="CUST054"/>
    <s v="Customer_35"/>
    <x v="3"/>
    <s v="P007"/>
    <x v="7"/>
    <x v="0"/>
    <n v="2"/>
    <n v="14000"/>
    <n v="9500"/>
    <n v="28000"/>
    <n v="19000"/>
    <n v="9000"/>
    <x v="1"/>
    <x v="4"/>
  </r>
  <r>
    <d v="2026-09-04T00:00:00"/>
    <s v="ORD0133"/>
    <s v="CUST040"/>
    <s v="Customer_6"/>
    <x v="3"/>
    <s v="P008"/>
    <x v="4"/>
    <x v="0"/>
    <n v="7"/>
    <n v="55000"/>
    <n v="42000"/>
    <n v="385000"/>
    <n v="294000"/>
    <n v="91000"/>
    <x v="0"/>
    <x v="4"/>
  </r>
  <r>
    <d v="2026-12-21T00:00:00"/>
    <s v="ORD0134"/>
    <s v="CUST038"/>
    <s v="Customer_42"/>
    <x v="2"/>
    <s v="P004"/>
    <x v="6"/>
    <x v="1"/>
    <n v="1"/>
    <n v="6000"/>
    <n v="3500"/>
    <n v="6000"/>
    <n v="3500"/>
    <n v="2500"/>
    <x v="1"/>
    <x v="9"/>
  </r>
  <r>
    <s v="08/04/2026"/>
    <s v="ORD0135"/>
    <s v="CUST065"/>
    <s v="Customer_46"/>
    <x v="0"/>
    <s v="P003"/>
    <x v="4"/>
    <x v="0"/>
    <n v="12"/>
    <n v="55000"/>
    <n v="42000"/>
    <n v="660000"/>
    <n v="504000"/>
    <n v="156000"/>
    <x v="2"/>
    <x v="3"/>
  </r>
  <r>
    <d v="2026-11-14T00:00:00"/>
    <s v="ORD0136"/>
    <s v="CUST055"/>
    <s v="Customer_52"/>
    <x v="5"/>
    <s v="P014"/>
    <x v="6"/>
    <x v="1"/>
    <n v="1"/>
    <n v="6000"/>
    <n v="3500"/>
    <n v="6000"/>
    <n v="3500"/>
    <n v="2500"/>
    <x v="0"/>
    <x v="10"/>
  </r>
  <r>
    <d v="2026-10-19T00:00:00"/>
    <s v="ORD0137"/>
    <s v="CUST059"/>
    <s v="Customer_47"/>
    <x v="2"/>
    <s v="P003"/>
    <x v="3"/>
    <x v="3"/>
    <n v="7"/>
    <n v="65000"/>
    <n v="50000"/>
    <n v="455000"/>
    <n v="350000"/>
    <n v="105000"/>
    <x v="0"/>
    <x v="1"/>
  </r>
  <r>
    <d v="2026-11-10T00:00:00"/>
    <s v="ORD0138"/>
    <s v="CUST044"/>
    <s v="Customer_29"/>
    <x v="5"/>
    <s v="P011"/>
    <x v="1"/>
    <x v="1"/>
    <n v="4"/>
    <n v="12000"/>
    <n v="7000"/>
    <n v="48000"/>
    <n v="28000"/>
    <n v="20000"/>
    <x v="1"/>
    <x v="10"/>
  </r>
  <r>
    <s v="11/05/2026"/>
    <s v="ORD0139"/>
    <s v="CUST045"/>
    <s v="Customer_19"/>
    <x v="4"/>
    <s v="P008"/>
    <x v="5"/>
    <x v="2"/>
    <n v="9"/>
    <n v="320000"/>
    <n v="250000"/>
    <n v="2880000"/>
    <n v="2250000"/>
    <n v="630000"/>
    <x v="1"/>
    <x v="10"/>
  </r>
  <r>
    <s v="09/02/2026"/>
    <s v="ORD0140"/>
    <s v="CUST010"/>
    <s v="Customer_23"/>
    <x v="4"/>
    <s v="P016"/>
    <x v="0"/>
    <x v="0"/>
    <n v="5"/>
    <n v="18000"/>
    <n v="12000"/>
    <n v="90000"/>
    <n v="60000"/>
    <n v="30000"/>
    <x v="0"/>
    <x v="4"/>
  </r>
  <r>
    <d v="2026-09-17T00:00:00"/>
    <s v="ORD0141"/>
    <s v="CUST042"/>
    <s v="Customer_41"/>
    <x v="3"/>
    <s v="P005"/>
    <x v="6"/>
    <x v="1"/>
    <n v="13"/>
    <n v="6000"/>
    <n v="3500"/>
    <n v="78000"/>
    <n v="45500"/>
    <n v="32500"/>
    <x v="0"/>
    <x v="4"/>
  </r>
  <r>
    <s v="12/03/2026"/>
    <s v="ORD0142"/>
    <s v="CUST065"/>
    <s v="Customer_10"/>
    <x v="2"/>
    <s v="P010"/>
    <x v="1"/>
    <x v="1"/>
    <n v="8"/>
    <n v="12000"/>
    <n v="7000"/>
    <n v="96000"/>
    <n v="56000"/>
    <n v="40000"/>
    <x v="1"/>
    <x v="9"/>
  </r>
  <r>
    <d v="2026-02-16T00:00:00"/>
    <s v="ORD0143"/>
    <s v="CUST065"/>
    <s v="Customer_50"/>
    <x v="2"/>
    <s v="P015"/>
    <x v="11"/>
    <x v="1"/>
    <n v="1"/>
    <n v="25000"/>
    <n v="18000"/>
    <n v="25000"/>
    <n v="18000"/>
    <n v="7000"/>
    <x v="2"/>
    <x v="6"/>
  </r>
  <r>
    <d v="2026-07-18T00:00:00"/>
    <s v="ORD0144"/>
    <s v="CUST065"/>
    <s v="Customer_20"/>
    <x v="3"/>
    <s v="P002"/>
    <x v="4"/>
    <x v="0"/>
    <n v="15"/>
    <n v="55000"/>
    <n v="42000"/>
    <n v="825000"/>
    <n v="630000"/>
    <n v="195000"/>
    <x v="1"/>
    <x v="5"/>
  </r>
  <r>
    <d v="2026-04-03T00:00:00"/>
    <s v="ORD0145"/>
    <s v="CUST006"/>
    <s v="Customer_32"/>
    <x v="2"/>
    <s v="P015"/>
    <x v="1"/>
    <x v="1"/>
    <n v="13"/>
    <n v="12000"/>
    <n v="7000"/>
    <n v="156000"/>
    <n v="91000"/>
    <n v="65000"/>
    <x v="2"/>
    <x v="2"/>
  </r>
  <r>
    <s v="06/04/2026"/>
    <s v="ORD0146"/>
    <s v="CUST053"/>
    <s v="Customer_44"/>
    <x v="2"/>
    <s v="P020"/>
    <x v="6"/>
    <x v="1"/>
    <n v="9"/>
    <n v="6000"/>
    <n v="3500"/>
    <n v="54000"/>
    <n v="31500"/>
    <n v="22500"/>
    <x v="1"/>
    <x v="8"/>
  </r>
  <r>
    <d v="2026-06-09T00:00:00"/>
    <s v="ORD0147"/>
    <s v="CUST037"/>
    <s v="Customer_33"/>
    <x v="2"/>
    <s v="P020"/>
    <x v="7"/>
    <x v="0"/>
    <n v="11"/>
    <n v="14000"/>
    <n v="9500"/>
    <n v="154000"/>
    <n v="104500"/>
    <n v="49500"/>
    <x v="1"/>
    <x v="8"/>
  </r>
  <r>
    <d v="2026-09-04T00:00:00"/>
    <s v="ORD0148"/>
    <s v="CUST051"/>
    <s v="Customer_17"/>
    <x v="0"/>
    <s v="P020"/>
    <x v="2"/>
    <x v="2"/>
    <n v="2"/>
    <n v="180000"/>
    <n v="140000"/>
    <n v="360000"/>
    <n v="280000"/>
    <n v="80000"/>
    <x v="0"/>
    <x v="4"/>
  </r>
  <r>
    <s v="02/02/2026"/>
    <s v="ORD0149"/>
    <s v="CUST068"/>
    <s v="Customer_12"/>
    <x v="2"/>
    <s v="P014"/>
    <x v="4"/>
    <x v="0"/>
    <n v="9"/>
    <n v="55000"/>
    <n v="42000"/>
    <n v="495000"/>
    <n v="378000"/>
    <n v="117000"/>
    <x v="0"/>
    <x v="6"/>
  </r>
  <r>
    <d v="2026-06-02T00:00:00"/>
    <s v="ORD0150"/>
    <s v="CUST025"/>
    <s v="Customer_29"/>
    <x v="0"/>
    <s v="P005"/>
    <x v="3"/>
    <x v="3"/>
    <n v="6"/>
    <n v="65000"/>
    <n v="50000"/>
    <n v="390000"/>
    <n v="300000"/>
    <n v="90000"/>
    <x v="1"/>
    <x v="8"/>
  </r>
  <r>
    <s v="10/05/2026"/>
    <s v="ORD0151"/>
    <s v="CUST068"/>
    <s v="Customer_5"/>
    <x v="1"/>
    <s v="P011"/>
    <x v="5"/>
    <x v="2"/>
    <n v="5"/>
    <n v="320000"/>
    <n v="250000"/>
    <n v="1600000"/>
    <n v="1250000"/>
    <n v="350000"/>
    <x v="0"/>
    <x v="1"/>
  </r>
  <r>
    <d v="2026-04-03T00:00:00"/>
    <s v="ORD0152"/>
    <s v="CUST057"/>
    <s v="Customer_6"/>
    <x v="0"/>
    <s v="P014"/>
    <x v="8"/>
    <x v="2"/>
    <n v="7"/>
    <n v="25000"/>
    <n v="15000"/>
    <n v="175000"/>
    <n v="105000"/>
    <n v="70000"/>
    <x v="2"/>
    <x v="2"/>
  </r>
  <r>
    <s v="06/06/2026"/>
    <s v="ORD0153"/>
    <s v="CUST058"/>
    <s v="Customer_30"/>
    <x v="5"/>
    <s v="P018"/>
    <x v="10"/>
    <x v="3"/>
    <n v="12"/>
    <n v="28000"/>
    <n v="21000"/>
    <n v="336000"/>
    <n v="252000"/>
    <n v="84000"/>
    <x v="0"/>
    <x v="8"/>
  </r>
  <r>
    <s v="05/04/2026"/>
    <s v="ORD0154"/>
    <s v="CUST057"/>
    <s v="Customer_60"/>
    <x v="0"/>
    <s v="P010"/>
    <x v="2"/>
    <x v="2"/>
    <n v="13"/>
    <n v="180000"/>
    <n v="140000"/>
    <n v="2340000"/>
    <n v="1820000"/>
    <n v="520000"/>
    <x v="0"/>
    <x v="0"/>
  </r>
  <r>
    <d v="2026-06-04T00:00:00"/>
    <s v="ORD0155"/>
    <s v="CUST033"/>
    <s v="Customer_7"/>
    <x v="0"/>
    <s v="P016"/>
    <x v="6"/>
    <x v="1"/>
    <n v="9"/>
    <n v="6000"/>
    <n v="3500"/>
    <n v="54000"/>
    <n v="31500"/>
    <n v="22500"/>
    <x v="2"/>
    <x v="8"/>
  </r>
  <r>
    <s v="01/02/2026"/>
    <s v="ORD0156"/>
    <s v="CUST035"/>
    <s v="Customer_58"/>
    <x v="4"/>
    <s v="P017"/>
    <x v="10"/>
    <x v="3"/>
    <n v="15"/>
    <n v="28000"/>
    <n v="21000"/>
    <n v="420000"/>
    <n v="315000"/>
    <n v="105000"/>
    <x v="2"/>
    <x v="11"/>
  </r>
  <r>
    <d v="2026-12-03T00:00:00"/>
    <s v="ORD0157"/>
    <s v="CUST054"/>
    <s v="Customer_7"/>
    <x v="0"/>
    <s v="P013"/>
    <x v="2"/>
    <x v="2"/>
    <n v="2"/>
    <n v="180000"/>
    <n v="140000"/>
    <n v="360000"/>
    <n v="280000"/>
    <n v="80000"/>
    <x v="2"/>
    <x v="9"/>
  </r>
  <r>
    <d v="2026-04-03T00:00:00"/>
    <s v="ORD0158"/>
    <s v="CUST013"/>
    <s v="Customer_43"/>
    <x v="2"/>
    <s v="P005"/>
    <x v="3"/>
    <x v="3"/>
    <n v="7"/>
    <n v="65000"/>
    <n v="50000"/>
    <n v="455000"/>
    <n v="350000"/>
    <n v="105000"/>
    <x v="1"/>
    <x v="2"/>
  </r>
  <r>
    <d v="2026-03-04T00:00:00"/>
    <s v="ORD0159"/>
    <s v="CUST061"/>
    <s v="Customer_58"/>
    <x v="5"/>
    <s v="P020"/>
    <x v="5"/>
    <x v="2"/>
    <n v="5"/>
    <n v="320000"/>
    <n v="250000"/>
    <n v="1600000"/>
    <n v="1250000"/>
    <n v="350000"/>
    <x v="0"/>
    <x v="7"/>
  </r>
  <r>
    <d v="2026-09-08T00:00:00"/>
    <s v="ORD0160"/>
    <s v="CUST068"/>
    <s v="Customer_55"/>
    <x v="0"/>
    <s v="P004"/>
    <x v="0"/>
    <x v="0"/>
    <n v="1"/>
    <n v="18000"/>
    <n v="12000"/>
    <n v="18000"/>
    <n v="12000"/>
    <n v="6000"/>
    <x v="0"/>
    <x v="4"/>
  </r>
  <r>
    <d v="2026-02-01T00:00:00"/>
    <s v="ORD0161"/>
    <s v="CUST059"/>
    <s v="Customer_9"/>
    <x v="0"/>
    <s v="P004"/>
    <x v="3"/>
    <x v="3"/>
    <n v="5"/>
    <n v="65000"/>
    <n v="50000"/>
    <n v="325000"/>
    <n v="250000"/>
    <n v="75000"/>
    <x v="0"/>
    <x v="6"/>
  </r>
  <r>
    <d v="2026-07-04T00:00:00"/>
    <s v="ORD0162"/>
    <s v="CUST038"/>
    <s v="Customer_55"/>
    <x v="4"/>
    <s v="P001"/>
    <x v="6"/>
    <x v="1"/>
    <n v="9"/>
    <n v="6000"/>
    <n v="3500"/>
    <n v="54000"/>
    <n v="31500"/>
    <n v="22500"/>
    <x v="2"/>
    <x v="5"/>
  </r>
  <r>
    <d v="2026-07-04T00:00:00"/>
    <s v="ORD0163"/>
    <s v="CUST009"/>
    <s v="Customer_68"/>
    <x v="3"/>
    <s v="P018"/>
    <x v="3"/>
    <x v="3"/>
    <n v="10"/>
    <n v="65000"/>
    <n v="50000"/>
    <n v="650000"/>
    <n v="500000"/>
    <n v="150000"/>
    <x v="1"/>
    <x v="5"/>
  </r>
  <r>
    <s v="10/04/2026"/>
    <s v="ORD0164"/>
    <s v="CUST003"/>
    <s v="Customer_46"/>
    <x v="3"/>
    <s v="P003"/>
    <x v="4"/>
    <x v="0"/>
    <n v="14"/>
    <n v="55000"/>
    <n v="42000"/>
    <n v="770000"/>
    <n v="588000"/>
    <n v="182000"/>
    <x v="1"/>
    <x v="1"/>
  </r>
  <r>
    <d v="2026-06-04T00:00:00"/>
    <s v="ORD0165"/>
    <s v="CUST018"/>
    <s v="Customer_6"/>
    <x v="1"/>
    <s v="P012"/>
    <x v="3"/>
    <x v="3"/>
    <n v="12"/>
    <n v="65000"/>
    <n v="50000"/>
    <n v="780000"/>
    <n v="600000"/>
    <n v="180000"/>
    <x v="1"/>
    <x v="8"/>
  </r>
  <r>
    <d v="2026-05-09T00:00:00"/>
    <s v="ORD0166"/>
    <s v="CUST024"/>
    <s v="Customer_18"/>
    <x v="3"/>
    <s v="P003"/>
    <x v="10"/>
    <x v="3"/>
    <n v="3"/>
    <n v="28000"/>
    <n v="21000"/>
    <n v="84000"/>
    <n v="63000"/>
    <n v="21000"/>
    <x v="1"/>
    <x v="0"/>
  </r>
  <r>
    <s v="11/01/2026"/>
    <s v="ORD0167"/>
    <s v="CUST066"/>
    <s v="Customer_51"/>
    <x v="0"/>
    <s v="P018"/>
    <x v="1"/>
    <x v="1"/>
    <n v="5"/>
    <n v="12000"/>
    <n v="7000"/>
    <n v="60000"/>
    <n v="35000"/>
    <n v="25000"/>
    <x v="1"/>
    <x v="10"/>
  </r>
  <r>
    <d v="2026-12-21T00:00:00"/>
    <s v="ORD0168"/>
    <s v="CUST043"/>
    <s v="Customer_35"/>
    <x v="0"/>
    <s v="P004"/>
    <x v="11"/>
    <x v="1"/>
    <n v="1"/>
    <n v="25000"/>
    <n v="18000"/>
    <n v="25000"/>
    <n v="18000"/>
    <n v="7000"/>
    <x v="2"/>
    <x v="9"/>
  </r>
  <r>
    <s v="09/04/2026"/>
    <s v="ORD0169"/>
    <s v="CUST064"/>
    <s v="Customer_64"/>
    <x v="5"/>
    <s v="P012"/>
    <x v="9"/>
    <x v="3"/>
    <n v="15"/>
    <n v="45000"/>
    <n v="32000"/>
    <n v="675000"/>
    <n v="480000"/>
    <n v="195000"/>
    <x v="2"/>
    <x v="4"/>
  </r>
  <r>
    <s v="04/06/2026"/>
    <s v="ORD0170"/>
    <s v="CUST070"/>
    <s v="Customer_38"/>
    <x v="5"/>
    <s v="P011"/>
    <x v="3"/>
    <x v="3"/>
    <n v="12"/>
    <n v="65000"/>
    <n v="50000"/>
    <n v="780000"/>
    <n v="600000"/>
    <n v="180000"/>
    <x v="2"/>
    <x v="2"/>
  </r>
  <r>
    <d v="2026-03-02T00:00:00"/>
    <s v="ORD0171"/>
    <s v="CUST022"/>
    <s v="Customer_57"/>
    <x v="2"/>
    <s v="P012"/>
    <x v="0"/>
    <x v="0"/>
    <n v="6"/>
    <n v="18000"/>
    <n v="12000"/>
    <n v="108000"/>
    <n v="72000"/>
    <n v="36000"/>
    <x v="1"/>
    <x v="7"/>
  </r>
  <r>
    <d v="2026-04-03T00:00:00"/>
    <s v="ORD0172"/>
    <s v="CUST008"/>
    <s v="Customer_10"/>
    <x v="2"/>
    <s v="P013"/>
    <x v="1"/>
    <x v="1"/>
    <n v="12"/>
    <n v="12000"/>
    <n v="7000"/>
    <n v="144000"/>
    <n v="84000"/>
    <n v="60000"/>
    <x v="1"/>
    <x v="2"/>
  </r>
  <r>
    <s v="08/01/2026"/>
    <s v="ORD0173"/>
    <s v="CUST057"/>
    <s v="Customer_5"/>
    <x v="0"/>
    <s v="P005"/>
    <x v="10"/>
    <x v="3"/>
    <n v="13"/>
    <n v="28000"/>
    <n v="21000"/>
    <n v="364000"/>
    <n v="273000"/>
    <n v="91000"/>
    <x v="0"/>
    <x v="3"/>
  </r>
  <r>
    <s v="09/04/2026"/>
    <s v="ORD0174"/>
    <s v="CUST020"/>
    <s v="Customer_58"/>
    <x v="2"/>
    <s v="P012"/>
    <x v="0"/>
    <x v="0"/>
    <n v="13"/>
    <n v="18000"/>
    <n v="12000"/>
    <n v="234000"/>
    <n v="156000"/>
    <n v="78000"/>
    <x v="2"/>
    <x v="4"/>
  </r>
  <r>
    <d v="2026-03-09T00:00:00"/>
    <s v="ORD0175"/>
    <s v="CUST036"/>
    <s v="Customer_32"/>
    <x v="0"/>
    <s v="P004"/>
    <x v="9"/>
    <x v="3"/>
    <n v="13"/>
    <n v="45000"/>
    <n v="32000"/>
    <n v="585000"/>
    <n v="416000"/>
    <n v="169000"/>
    <x v="1"/>
    <x v="7"/>
  </r>
  <r>
    <d v="2026-10-03T00:00:00"/>
    <s v="ORD0176"/>
    <s v="CUST058"/>
    <s v="Customer_28"/>
    <x v="5"/>
    <s v="P020"/>
    <x v="7"/>
    <x v="0"/>
    <n v="3"/>
    <n v="14000"/>
    <n v="9500"/>
    <n v="42000"/>
    <n v="28500"/>
    <n v="13500"/>
    <x v="1"/>
    <x v="1"/>
  </r>
  <r>
    <s v="01/02/2026"/>
    <s v="ORD0177"/>
    <s v="CUST058"/>
    <s v="Customer_23"/>
    <x v="0"/>
    <s v="P015"/>
    <x v="10"/>
    <x v="3"/>
    <n v="15"/>
    <n v="28000"/>
    <n v="21000"/>
    <n v="420000"/>
    <n v="315000"/>
    <n v="105000"/>
    <x v="2"/>
    <x v="11"/>
  </r>
  <r>
    <d v="2026-12-30T00:00:00"/>
    <s v="ORD0178"/>
    <s v="CUST070"/>
    <s v="Customer_38"/>
    <x v="3"/>
    <s v="P010"/>
    <x v="7"/>
    <x v="0"/>
    <n v="14"/>
    <n v="14000"/>
    <n v="9500"/>
    <n v="196000"/>
    <n v="133000"/>
    <n v="63000"/>
    <x v="0"/>
    <x v="9"/>
  </r>
  <r>
    <d v="2026-08-14T00:00:00"/>
    <s v="ORD0179"/>
    <s v="CUST029"/>
    <s v="Customer_16"/>
    <x v="3"/>
    <s v="P007"/>
    <x v="8"/>
    <x v="2"/>
    <n v="12"/>
    <n v="25000"/>
    <n v="15000"/>
    <n v="300000"/>
    <n v="180000"/>
    <n v="120000"/>
    <x v="0"/>
    <x v="3"/>
  </r>
  <r>
    <d v="2026-05-22T00:00:00"/>
    <s v="ORD0180"/>
    <s v="CUST017"/>
    <s v="Customer_12"/>
    <x v="2"/>
    <s v="P003"/>
    <x v="5"/>
    <x v="2"/>
    <n v="13"/>
    <n v="320000"/>
    <n v="250000"/>
    <n v="4160000"/>
    <n v="3250000"/>
    <n v="910000"/>
    <x v="1"/>
    <x v="0"/>
  </r>
  <r>
    <d v="2026-04-16T00:00:00"/>
    <s v="ORD0181"/>
    <s v="CUST010"/>
    <s v="Customer_17"/>
    <x v="4"/>
    <s v="P011"/>
    <x v="9"/>
    <x v="3"/>
    <n v="12"/>
    <n v="45000"/>
    <n v="32000"/>
    <n v="540000"/>
    <n v="384000"/>
    <n v="156000"/>
    <x v="0"/>
    <x v="2"/>
  </r>
  <r>
    <s v="02/02/2026"/>
    <s v="ORD0182"/>
    <s v="CUST024"/>
    <s v="Customer_17"/>
    <x v="2"/>
    <s v="P014"/>
    <x v="4"/>
    <x v="0"/>
    <n v="8"/>
    <n v="55000"/>
    <n v="42000"/>
    <n v="440000"/>
    <n v="336000"/>
    <n v="104000"/>
    <x v="0"/>
    <x v="6"/>
  </r>
  <r>
    <s v="11/02/2026"/>
    <s v="ORD0183"/>
    <s v="CUST029"/>
    <s v="Customer_45"/>
    <x v="0"/>
    <s v="P017"/>
    <x v="0"/>
    <x v="0"/>
    <n v="9"/>
    <n v="18000"/>
    <n v="12000"/>
    <n v="162000"/>
    <n v="108000"/>
    <n v="54000"/>
    <x v="0"/>
    <x v="10"/>
  </r>
  <r>
    <s v="12/03/2026"/>
    <s v="ORD0184"/>
    <s v="CUST069"/>
    <s v="Customer_12"/>
    <x v="4"/>
    <s v="P017"/>
    <x v="3"/>
    <x v="3"/>
    <n v="5"/>
    <n v="65000"/>
    <n v="50000"/>
    <n v="325000"/>
    <n v="250000"/>
    <n v="75000"/>
    <x v="1"/>
    <x v="9"/>
  </r>
  <r>
    <s v="09/06/2026"/>
    <s v="ORD0185"/>
    <s v="CUST044"/>
    <s v="Customer_6"/>
    <x v="3"/>
    <s v="P001"/>
    <x v="8"/>
    <x v="2"/>
    <n v="10"/>
    <n v="25000"/>
    <n v="15000"/>
    <n v="250000"/>
    <n v="150000"/>
    <n v="100000"/>
    <x v="0"/>
    <x v="4"/>
  </r>
  <r>
    <d v="2026-06-16T00:00:00"/>
    <s v="ORD0186"/>
    <s v="CUST054"/>
    <s v="Customer_4"/>
    <x v="2"/>
    <s v="P016"/>
    <x v="0"/>
    <x v="0"/>
    <n v="11"/>
    <n v="18000"/>
    <n v="12000"/>
    <n v="198000"/>
    <n v="132000"/>
    <n v="66000"/>
    <x v="0"/>
    <x v="8"/>
  </r>
  <r>
    <d v="2026-04-14T00:00:00"/>
    <s v="ORD0187"/>
    <s v="CUST008"/>
    <s v="Customer_21"/>
    <x v="3"/>
    <s v="P015"/>
    <x v="10"/>
    <x v="3"/>
    <n v="5"/>
    <n v="28000"/>
    <n v="21000"/>
    <n v="140000"/>
    <n v="105000"/>
    <n v="35000"/>
    <x v="2"/>
    <x v="2"/>
  </r>
  <r>
    <s v="06/02/2026"/>
    <s v="ORD0188"/>
    <s v="CUST041"/>
    <s v="Customer_45"/>
    <x v="4"/>
    <s v="P013"/>
    <x v="11"/>
    <x v="1"/>
    <n v="8"/>
    <n v="25000"/>
    <n v="18000"/>
    <n v="200000"/>
    <n v="144000"/>
    <n v="56000"/>
    <x v="0"/>
    <x v="8"/>
  </r>
  <r>
    <s v="03/03/2026"/>
    <s v="ORD0189"/>
    <s v="CUST058"/>
    <s v="Customer_32"/>
    <x v="2"/>
    <s v="P005"/>
    <x v="2"/>
    <x v="2"/>
    <n v="9"/>
    <n v="180000"/>
    <n v="140000"/>
    <n v="1620000"/>
    <n v="1260000"/>
    <n v="360000"/>
    <x v="1"/>
    <x v="7"/>
  </r>
  <r>
    <d v="2026-04-18T00:00:00"/>
    <s v="ORD0190"/>
    <s v="CUST042"/>
    <s v="Customer_41"/>
    <x v="4"/>
    <s v="P007"/>
    <x v="0"/>
    <x v="0"/>
    <n v="5"/>
    <n v="18000"/>
    <n v="12000"/>
    <n v="90000"/>
    <n v="60000"/>
    <n v="30000"/>
    <x v="2"/>
    <x v="2"/>
  </r>
  <r>
    <s v="08/05/2026"/>
    <s v="ORD0191"/>
    <s v="CUST051"/>
    <s v="Customer_65"/>
    <x v="2"/>
    <s v="P015"/>
    <x v="2"/>
    <x v="2"/>
    <n v="9"/>
    <n v="180000"/>
    <n v="140000"/>
    <n v="1620000"/>
    <n v="1260000"/>
    <n v="360000"/>
    <x v="1"/>
    <x v="3"/>
  </r>
  <r>
    <d v="2026-03-14T00:00:00"/>
    <s v="ORD0192"/>
    <s v="CUST061"/>
    <s v="Customer_37"/>
    <x v="1"/>
    <s v="P018"/>
    <x v="5"/>
    <x v="2"/>
    <n v="10"/>
    <n v="320000"/>
    <n v="250000"/>
    <n v="3200000"/>
    <n v="2500000"/>
    <n v="700000"/>
    <x v="0"/>
    <x v="7"/>
  </r>
  <r>
    <s v="04/04/2026"/>
    <s v="ORD0193"/>
    <s v="CUST006"/>
    <s v="Customer_52"/>
    <x v="2"/>
    <s v="P002"/>
    <x v="0"/>
    <x v="0"/>
    <n v="7"/>
    <n v="18000"/>
    <n v="12000"/>
    <n v="126000"/>
    <n v="84000"/>
    <n v="42000"/>
    <x v="1"/>
    <x v="2"/>
  </r>
  <r>
    <s v="10/05/2026"/>
    <s v="ORD0194"/>
    <s v="CUST036"/>
    <s v="Customer_16"/>
    <x v="5"/>
    <s v="P005"/>
    <x v="2"/>
    <x v="2"/>
    <n v="9"/>
    <n v="180000"/>
    <n v="140000"/>
    <n v="1620000"/>
    <n v="1260000"/>
    <n v="360000"/>
    <x v="0"/>
    <x v="1"/>
  </r>
  <r>
    <d v="2026-05-23T00:00:00"/>
    <s v="ORD0195"/>
    <s v="CUST026"/>
    <s v="Customer_66"/>
    <x v="2"/>
    <s v="P013"/>
    <x v="4"/>
    <x v="0"/>
    <n v="6"/>
    <n v="55000"/>
    <n v="42000"/>
    <n v="330000"/>
    <n v="252000"/>
    <n v="78000"/>
    <x v="2"/>
    <x v="0"/>
  </r>
  <r>
    <s v="02/05/2026"/>
    <s v="ORD0196"/>
    <s v="CUST066"/>
    <s v="Customer_18"/>
    <x v="2"/>
    <s v="P011"/>
    <x v="0"/>
    <x v="0"/>
    <n v="1"/>
    <n v="18000"/>
    <n v="12000"/>
    <n v="18000"/>
    <n v="12000"/>
    <n v="6000"/>
    <x v="2"/>
    <x v="6"/>
  </r>
  <r>
    <d v="2026-03-18T00:00:00"/>
    <s v="ORD0197"/>
    <s v="CUST066"/>
    <s v="Customer_69"/>
    <x v="3"/>
    <s v="P016"/>
    <x v="3"/>
    <x v="3"/>
    <n v="7"/>
    <n v="65000"/>
    <n v="50000"/>
    <n v="455000"/>
    <n v="350000"/>
    <n v="105000"/>
    <x v="0"/>
    <x v="7"/>
  </r>
  <r>
    <d v="2026-06-22T00:00:00"/>
    <s v="ORD0198"/>
    <s v="CUST040"/>
    <s v="Customer_4"/>
    <x v="2"/>
    <s v="P020"/>
    <x v="9"/>
    <x v="3"/>
    <n v="14"/>
    <n v="45000"/>
    <n v="32000"/>
    <n v="630000"/>
    <n v="448000"/>
    <n v="182000"/>
    <x v="1"/>
    <x v="8"/>
  </r>
  <r>
    <d v="2026-05-25T00:00:00"/>
    <s v="ORD0199"/>
    <s v="CUST062"/>
    <s v="Customer_22"/>
    <x v="4"/>
    <s v="P017"/>
    <x v="11"/>
    <x v="1"/>
    <n v="11"/>
    <n v="25000"/>
    <n v="18000"/>
    <n v="275000"/>
    <n v="198000"/>
    <n v="77000"/>
    <x v="2"/>
    <x v="0"/>
  </r>
  <r>
    <d v="2026-05-27T00:00:00"/>
    <s v="ORD0200"/>
    <s v="CUST025"/>
    <s v="Customer_3"/>
    <x v="1"/>
    <s v="P015"/>
    <x v="1"/>
    <x v="1"/>
    <n v="14"/>
    <n v="12000"/>
    <n v="7000"/>
    <n v="168000"/>
    <n v="98000"/>
    <n v="70000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679D9-7F0D-4C88-9024-9A0061ED17E3}" name="PivotTable2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3:I8" firstHeaderRow="0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0"/>
        <item x="3"/>
        <item x="4"/>
        <item x="5"/>
        <item x="1"/>
        <item x="2"/>
        <item t="default"/>
      </items>
    </pivotField>
    <pivotField compact="0" outline="0" showAll="0"/>
    <pivotField compact="0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dataField="1" compact="0" numFmtId="164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>
      <items count="13">
        <item x="11"/>
        <item x="6"/>
        <item x="7"/>
        <item x="2"/>
        <item x="0"/>
        <item x="8"/>
        <item x="5"/>
        <item x="3"/>
        <item x="4"/>
        <item x="1"/>
        <item x="10"/>
        <item x="9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" fld="11" baseField="0" baseItem="0" numFmtId="164"/>
    <dataField name="Sum of Profit" fld="13" baseField="0" baseItem="0" numFmtId="164"/>
  </dataField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67B01-3099-4528-8BF1-58F5B3F97117}" name="PivotTable1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10" firstHeaderRow="0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7">
        <item x="0"/>
        <item x="3"/>
        <item x="4"/>
        <item x="5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dataField="1" compact="0" numFmtId="164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>
      <items count="13">
        <item x="11"/>
        <item x="6"/>
        <item x="7"/>
        <item x="2"/>
        <item x="0"/>
        <item x="8"/>
        <item x="5"/>
        <item x="3"/>
        <item x="4"/>
        <item x="1"/>
        <item x="10"/>
        <item x="9"/>
        <item t="default"/>
      </items>
    </pivotField>
  </pivotFields>
  <rowFields count="1">
    <field x="4"/>
  </rowFields>
  <rowItems count="7">
    <i>
      <x v="5"/>
    </i>
    <i>
      <x/>
    </i>
    <i>
      <x v="3"/>
    </i>
    <i>
      <x v="4"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" fld="11" baseField="0" baseItem="0" numFmtId="164"/>
    <dataField name="Sum of Profit" fld="13" baseField="0" baseItem="0" numFmtId="164"/>
  </dataField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5DA11-2C78-4F51-AD10-0EB322AECC0C}" name="PivotTable4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9:C32" firstHeaderRow="0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0"/>
        <item x="3"/>
        <item x="4"/>
        <item x="5"/>
        <item x="1"/>
        <item x="2"/>
        <item t="default"/>
      </items>
    </pivotField>
    <pivotField compact="0" outline="0" showAll="0"/>
    <pivotField axis="axisRow" compact="0" outline="0" showAll="0">
      <items count="13">
        <item x="9"/>
        <item x="0"/>
        <item x="4"/>
        <item x="10"/>
        <item x="7"/>
        <item x="8"/>
        <item x="11"/>
        <item x="5"/>
        <item x="2"/>
        <item x="1"/>
        <item x="3"/>
        <item x="6"/>
        <item t="default"/>
      </items>
    </pivotField>
    <pivotField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dataField="1" compact="0" numFmtId="164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>
      <items count="13">
        <item x="11"/>
        <item x="6"/>
        <item x="7"/>
        <item x="2"/>
        <item x="0"/>
        <item x="8"/>
        <item x="5"/>
        <item x="3"/>
        <item x="4"/>
        <item x="1"/>
        <item x="10"/>
        <item x="9"/>
        <item t="default"/>
      </items>
    </pivotField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3" baseField="0" baseItem="0" numFmtId="164"/>
    <dataField name="Sum of Total_sales" fld="11" baseField="0" baseItem="0" numFmtId="164"/>
  </dataField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D40A8A-F49F-4957-A857-51F605676175}" name="PivotTable3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19:I32" firstHeaderRow="0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0"/>
        <item x="3"/>
        <item x="4"/>
        <item x="5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dataField="1" compact="0" numFmtId="164" outline="0" showAll="0"/>
    <pivotField compact="0" outline="0" showAll="0">
      <items count="4">
        <item x="0"/>
        <item x="2"/>
        <item x="1"/>
        <item t="default"/>
      </items>
    </pivotField>
    <pivotField axis="axisRow" compact="0" outline="0" showAll="0">
      <items count="13">
        <item x="11"/>
        <item x="6"/>
        <item x="7"/>
        <item x="2"/>
        <item x="0"/>
        <item x="8"/>
        <item x="5"/>
        <item x="3"/>
        <item x="4"/>
        <item x="1"/>
        <item x="10"/>
        <item x="9"/>
        <item t="default"/>
      </items>
    </pivotField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3" baseField="0" baseItem="0" numFmtId="164"/>
    <dataField name="Sum of Total_sales" fld="11" baseField="0" baseItem="0" numFmtId="164"/>
  </dataField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ity" xr10:uid="{361FDDFB-C736-4E71-B926-1DFB21376258}" sourceName="City">
  <pivotTables>
    <pivotTable tabId="3" name="PivotTable2"/>
    <pivotTable tabId="3" name="PivotTable1"/>
    <pivotTable tabId="3" name="PivotTable4"/>
    <pivotTable tabId="3" name="PivotTable3"/>
  </pivotTables>
  <data>
    <tabular pivotCacheId="991357377">
      <items count="6">
        <i x="0" s="1"/>
        <i x="3" s="1"/>
        <i x="4" s="1"/>
        <i x="5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DCE449E6-CD37-49B7-B2B4-C3BDDC70BCFF}" sourceName="Category">
  <pivotTables>
    <pivotTable tabId="3" name="PivotTable2"/>
    <pivotTable tabId="3" name="PivotTable1"/>
    <pivotTable tabId="3" name="PivotTable4"/>
    <pivotTable tabId="3" name="PivotTable3"/>
  </pivotTables>
  <data>
    <tabular pivotCacheId="991357377">
      <items count="4">
        <i x="0" s="1"/>
        <i x="2" s="1"/>
        <i x="3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_method" xr10:uid="{CDB61C00-479D-40E5-BFAF-C4EE7341B2F2}" sourceName="Payment_method">
  <pivotTables>
    <pivotTable tabId="3" name="PivotTable2"/>
    <pivotTable tabId="3" name="PivotTable1"/>
    <pivotTable tabId="3" name="PivotTable4"/>
    <pivotTable tabId="3" name="PivotTable3"/>
  </pivotTables>
  <data>
    <tabular pivotCacheId="991357377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DDACD6A1-E159-401A-B432-294AA112FCDC}" sourceName="Month">
  <pivotTables>
    <pivotTable tabId="3" name="PivotTable2"/>
    <pivotTable tabId="3" name="PivotTable1"/>
    <pivotTable tabId="3" name="PivotTable4"/>
    <pivotTable tabId="3" name="PivotTable3"/>
  </pivotTables>
  <data>
    <tabular pivotCacheId="991357377">
      <items count="12">
        <i x="11" s="1"/>
        <i x="6" s="1"/>
        <i x="7" s="1"/>
        <i x="2" s="1"/>
        <i x="0" s="1"/>
        <i x="8" s="1"/>
        <i x="5" s="1"/>
        <i x="3" s="1"/>
        <i x="4" s="1"/>
        <i x="1" s="1"/>
        <i x="10" s="1"/>
        <i x="9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y" xr10:uid="{0D547C68-F72C-4F68-8663-29E7D7854DEE}" cache="Slicer_City" caption="City" rowHeight="228600"/>
  <slicer name="Category" xr10:uid="{D211E30B-E084-4801-BD0D-D67DAA1963AF}" cache="Slicer_Category" caption="Category" rowHeight="228600"/>
  <slicer name="Payment_method" xr10:uid="{712514D9-04A2-4344-9303-16E93C64F149}" cache="Slicer_Payment_method" caption="Payment_method" rowHeight="228600"/>
  <slicer name="Month" xr10:uid="{BFE9DA9E-12E0-49E1-B64F-458D031AD81F}" cache="Slicer_Month" caption="Month" lockedPosition="1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1AA7AA-6D19-4058-8CCC-C9036480B446}" name="Table1" displayName="Table1" ref="A1:P201" totalsRowShown="0" headerRowDxfId="16" dataDxfId="15">
  <autoFilter ref="A1:P201" xr:uid="{691AA7AA-6D19-4058-8CCC-C9036480B446}"/>
  <tableColumns count="16">
    <tableColumn id="1" xr3:uid="{0510F410-0707-4E64-A1DA-A88E7C582748}" name="Order_date" dataDxfId="14"/>
    <tableColumn id="2" xr3:uid="{CBDC0165-5324-440F-ADD6-8B00E53C6844}" name="Order_ID" dataDxfId="13"/>
    <tableColumn id="3" xr3:uid="{4C7D4A38-7911-47AD-B04D-C78510644E55}" name="Customer_order" dataDxfId="12"/>
    <tableColumn id="4" xr3:uid="{67CDDE57-EB2D-4090-9808-93423F0C00F1}" name="Cusstomer_name" dataDxfId="11"/>
    <tableColumn id="5" xr3:uid="{123FB90D-3F8C-4A6E-8A91-4101DAD2D045}" name="City" dataDxfId="10"/>
    <tableColumn id="6" xr3:uid="{EBA30D4E-1194-4875-BF1D-93ED1D56D5CE}" name="Product_ID" dataDxfId="9"/>
    <tableColumn id="7" xr3:uid="{2CA46FE7-C2D2-45EE-A338-9F45EB6C2755}" name="Product_name" dataDxfId="8"/>
    <tableColumn id="8" xr3:uid="{9423910D-C90F-41D7-9E2F-5C3B97841366}" name="Category" dataDxfId="7"/>
    <tableColumn id="9" xr3:uid="{7713F9B9-24E4-4728-B503-F487FC3D6653}" name="Quantity" dataDxfId="6"/>
    <tableColumn id="10" xr3:uid="{8EF31D3A-E728-4F84-8AF6-75C3D7181624}" name="Unit_price" dataDxfId="5"/>
    <tableColumn id="11" xr3:uid="{50051F47-42B6-48E6-B4EA-DB4238507FDB}" name="Unit_cost" dataDxfId="4"/>
    <tableColumn id="12" xr3:uid="{8A4A1923-8E1C-4701-A502-CFA0BE558582}" name="Total_sales" dataDxfId="3"/>
    <tableColumn id="13" xr3:uid="{ED0D97E4-9EBB-40A2-B7AD-51FB12412526}" name="Total_cost" dataDxfId="2"/>
    <tableColumn id="14" xr3:uid="{9AB18A86-DB75-4317-A0C9-78EBCD19F217}" name="Profit" dataDxfId="1"/>
    <tableColumn id="15" xr3:uid="{D6283307-4847-4C8D-8794-4AA4CB9592F9}" name="Payment_method" dataDxfId="0"/>
    <tableColumn id="16" xr3:uid="{C78391D2-0272-45CA-9020-525D1FC3FCFB}" name="Month">
      <calculatedColumnFormula>TEXT(A2, "mmm")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1"/>
  <sheetViews>
    <sheetView workbookViewId="0">
      <selection sqref="A1:P201"/>
    </sheetView>
  </sheetViews>
  <sheetFormatPr defaultRowHeight="15"/>
  <cols>
    <col min="1" max="1" width="24.140625" style="3" customWidth="1"/>
    <col min="2" max="9" width="24.140625" style="1" customWidth="1"/>
    <col min="10" max="14" width="24.140625" style="6" customWidth="1"/>
    <col min="15" max="15" width="24.140625" style="1" customWidth="1"/>
    <col min="16" max="16" width="24.140625" customWidth="1"/>
  </cols>
  <sheetData>
    <row r="1" spans="1:16" ht="18.7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2" t="s">
        <v>14</v>
      </c>
      <c r="P1" s="2" t="s">
        <v>15</v>
      </c>
    </row>
    <row r="2" spans="1:16">
      <c r="A2" s="3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>
        <v>12</v>
      </c>
      <c r="J2" s="6">
        <v>18000</v>
      </c>
      <c r="K2" s="6">
        <v>12000</v>
      </c>
      <c r="L2" s="6">
        <v>216000</v>
      </c>
      <c r="M2" s="6">
        <v>144000</v>
      </c>
      <c r="N2" s="6">
        <v>72000</v>
      </c>
      <c r="O2" s="1" t="s">
        <v>24</v>
      </c>
      <c r="P2" t="str">
        <f>TEXT(A2, "mmm")</f>
        <v>May</v>
      </c>
    </row>
    <row r="3" spans="1:16">
      <c r="A3" s="3" t="s">
        <v>25</v>
      </c>
      <c r="B3" s="1" t="s">
        <v>26</v>
      </c>
      <c r="C3" s="1" t="s">
        <v>27</v>
      </c>
      <c r="D3" s="1" t="s">
        <v>28</v>
      </c>
      <c r="E3" s="1" t="s">
        <v>20</v>
      </c>
      <c r="F3" s="1" t="s">
        <v>29</v>
      </c>
      <c r="G3" s="1" t="s">
        <v>30</v>
      </c>
      <c r="H3" s="1" t="s">
        <v>31</v>
      </c>
      <c r="I3" s="1">
        <v>1</v>
      </c>
      <c r="J3" s="6">
        <v>12000</v>
      </c>
      <c r="K3" s="6">
        <v>7000</v>
      </c>
      <c r="L3" s="6">
        <v>12000</v>
      </c>
      <c r="M3" s="6">
        <v>7000</v>
      </c>
      <c r="N3" s="6">
        <v>5000</v>
      </c>
      <c r="O3" s="1" t="s">
        <v>24</v>
      </c>
      <c r="P3" t="str">
        <f t="shared" ref="P3:P66" si="0">TEXT(A3, "mmm")</f>
        <v>Oct</v>
      </c>
    </row>
    <row r="4" spans="1:16">
      <c r="A4" s="3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>
        <v>10</v>
      </c>
      <c r="J4" s="6">
        <v>180000</v>
      </c>
      <c r="K4" s="6">
        <v>140000</v>
      </c>
      <c r="L4" s="6">
        <v>1800000</v>
      </c>
      <c r="M4" s="6">
        <v>1400000</v>
      </c>
      <c r="N4" s="6">
        <v>400000</v>
      </c>
      <c r="O4" s="1" t="s">
        <v>40</v>
      </c>
      <c r="P4" t="str">
        <f t="shared" si="0"/>
        <v>Oct</v>
      </c>
    </row>
    <row r="5" spans="1:16">
      <c r="A5" s="3">
        <v>46115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>
        <v>2</v>
      </c>
      <c r="J5" s="6">
        <v>65000</v>
      </c>
      <c r="K5" s="6">
        <v>50000</v>
      </c>
      <c r="L5" s="6">
        <v>130000</v>
      </c>
      <c r="M5" s="6">
        <v>100000</v>
      </c>
      <c r="N5" s="6">
        <v>30000</v>
      </c>
      <c r="O5" s="1" t="s">
        <v>48</v>
      </c>
      <c r="P5" t="str">
        <f t="shared" si="0"/>
        <v>Apr</v>
      </c>
    </row>
    <row r="6" spans="1:16">
      <c r="A6" s="3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30</v>
      </c>
      <c r="H6" s="1" t="s">
        <v>31</v>
      </c>
      <c r="I6" s="1">
        <v>9</v>
      </c>
      <c r="J6" s="6">
        <v>12000</v>
      </c>
      <c r="K6" s="6">
        <v>7000</v>
      </c>
      <c r="L6" s="6">
        <v>108000</v>
      </c>
      <c r="M6" s="6">
        <v>63000</v>
      </c>
      <c r="N6" s="6">
        <v>45000</v>
      </c>
      <c r="O6" s="1" t="s">
        <v>40</v>
      </c>
      <c r="P6" t="str">
        <f t="shared" si="0"/>
        <v>Aug</v>
      </c>
    </row>
    <row r="7" spans="1:16">
      <c r="A7" s="3" t="s">
        <v>55</v>
      </c>
      <c r="B7" s="1" t="s">
        <v>56</v>
      </c>
      <c r="C7" s="1" t="s">
        <v>57</v>
      </c>
      <c r="D7" s="1" t="s">
        <v>58</v>
      </c>
      <c r="E7" s="1" t="s">
        <v>36</v>
      </c>
      <c r="F7" s="1" t="s">
        <v>59</v>
      </c>
      <c r="G7" s="1" t="s">
        <v>38</v>
      </c>
      <c r="H7" s="1" t="s">
        <v>39</v>
      </c>
      <c r="I7" s="1">
        <v>2</v>
      </c>
      <c r="J7" s="6">
        <v>180000</v>
      </c>
      <c r="K7" s="6">
        <v>140000</v>
      </c>
      <c r="L7" s="6">
        <v>360000</v>
      </c>
      <c r="M7" s="6">
        <v>280000</v>
      </c>
      <c r="N7" s="6">
        <v>80000</v>
      </c>
      <c r="O7" s="1" t="s">
        <v>24</v>
      </c>
      <c r="P7" t="str">
        <f t="shared" si="0"/>
        <v>Aug</v>
      </c>
    </row>
    <row r="8" spans="1:16">
      <c r="A8" s="3">
        <v>46301</v>
      </c>
      <c r="B8" s="1" t="s">
        <v>60</v>
      </c>
      <c r="C8" s="1" t="s">
        <v>61</v>
      </c>
      <c r="D8" s="1" t="s">
        <v>43</v>
      </c>
      <c r="E8" s="1" t="s">
        <v>53</v>
      </c>
      <c r="F8" s="1" t="s">
        <v>62</v>
      </c>
      <c r="G8" s="1" t="s">
        <v>46</v>
      </c>
      <c r="H8" s="1" t="s">
        <v>47</v>
      </c>
      <c r="I8" s="1">
        <v>11</v>
      </c>
      <c r="J8" s="6">
        <v>65000</v>
      </c>
      <c r="K8" s="6">
        <v>50000</v>
      </c>
      <c r="L8" s="6">
        <v>715000</v>
      </c>
      <c r="M8" s="6">
        <v>550000</v>
      </c>
      <c r="N8" s="6">
        <v>165000</v>
      </c>
      <c r="O8" s="1" t="s">
        <v>24</v>
      </c>
      <c r="P8" t="str">
        <f t="shared" si="0"/>
        <v>Oct</v>
      </c>
    </row>
    <row r="9" spans="1:16">
      <c r="A9" s="3">
        <v>46271</v>
      </c>
      <c r="B9" s="1" t="s">
        <v>63</v>
      </c>
      <c r="C9" s="1" t="s">
        <v>64</v>
      </c>
      <c r="D9" s="1" t="s">
        <v>65</v>
      </c>
      <c r="E9" s="1" t="s">
        <v>53</v>
      </c>
      <c r="F9" s="1" t="s">
        <v>62</v>
      </c>
      <c r="G9" s="1" t="s">
        <v>38</v>
      </c>
      <c r="H9" s="1" t="s">
        <v>39</v>
      </c>
      <c r="I9" s="1">
        <v>7</v>
      </c>
      <c r="J9" s="6">
        <v>180000</v>
      </c>
      <c r="K9" s="6">
        <v>140000</v>
      </c>
      <c r="L9" s="6">
        <v>1260000</v>
      </c>
      <c r="M9" s="6">
        <v>980000</v>
      </c>
      <c r="N9" s="6">
        <v>280000</v>
      </c>
      <c r="O9" s="1" t="s">
        <v>24</v>
      </c>
      <c r="P9" t="str">
        <f t="shared" si="0"/>
        <v>Sep</v>
      </c>
    </row>
    <row r="10" spans="1:16">
      <c r="A10" s="3">
        <v>46208</v>
      </c>
      <c r="B10" s="1" t="s">
        <v>66</v>
      </c>
      <c r="C10" s="1" t="s">
        <v>67</v>
      </c>
      <c r="D10" s="1" t="s">
        <v>68</v>
      </c>
      <c r="E10" s="1" t="s">
        <v>20</v>
      </c>
      <c r="F10" s="1" t="s">
        <v>69</v>
      </c>
      <c r="G10" s="1" t="s">
        <v>70</v>
      </c>
      <c r="H10" s="1" t="s">
        <v>23</v>
      </c>
      <c r="I10" s="1">
        <v>7</v>
      </c>
      <c r="J10" s="6">
        <v>55000</v>
      </c>
      <c r="K10" s="6">
        <v>42000</v>
      </c>
      <c r="L10" s="6">
        <v>385000</v>
      </c>
      <c r="M10" s="6">
        <v>294000</v>
      </c>
      <c r="N10" s="6">
        <v>91000</v>
      </c>
      <c r="O10" s="1" t="s">
        <v>40</v>
      </c>
      <c r="P10" t="str">
        <f t="shared" si="0"/>
        <v>Jul</v>
      </c>
    </row>
    <row r="11" spans="1:16">
      <c r="A11" s="3">
        <v>46058</v>
      </c>
      <c r="B11" s="1" t="s">
        <v>71</v>
      </c>
      <c r="C11" s="1" t="s">
        <v>72</v>
      </c>
      <c r="D11" s="1" t="s">
        <v>73</v>
      </c>
      <c r="E11" s="1" t="s">
        <v>53</v>
      </c>
      <c r="F11" s="1" t="s">
        <v>59</v>
      </c>
      <c r="G11" s="1" t="s">
        <v>30</v>
      </c>
      <c r="H11" s="1" t="s">
        <v>31</v>
      </c>
      <c r="I11" s="1">
        <v>5</v>
      </c>
      <c r="J11" s="6">
        <v>12000</v>
      </c>
      <c r="K11" s="6">
        <v>7000</v>
      </c>
      <c r="L11" s="6">
        <v>60000</v>
      </c>
      <c r="M11" s="6">
        <v>35000</v>
      </c>
      <c r="N11" s="6">
        <v>25000</v>
      </c>
      <c r="O11" s="1" t="s">
        <v>24</v>
      </c>
      <c r="P11" t="str">
        <f t="shared" si="0"/>
        <v>Feb</v>
      </c>
    </row>
    <row r="12" spans="1:16">
      <c r="A12" s="3">
        <v>46266</v>
      </c>
      <c r="B12" s="1" t="s">
        <v>74</v>
      </c>
      <c r="C12" s="1" t="s">
        <v>72</v>
      </c>
      <c r="D12" s="1" t="s">
        <v>52</v>
      </c>
      <c r="E12" s="1" t="s">
        <v>36</v>
      </c>
      <c r="F12" s="1" t="s">
        <v>69</v>
      </c>
      <c r="G12" s="1" t="s">
        <v>75</v>
      </c>
      <c r="H12" s="1" t="s">
        <v>39</v>
      </c>
      <c r="I12" s="1">
        <v>9</v>
      </c>
      <c r="J12" s="6">
        <v>320000</v>
      </c>
      <c r="K12" s="6">
        <v>250000</v>
      </c>
      <c r="L12" s="6">
        <v>2880000</v>
      </c>
      <c r="M12" s="6">
        <v>2250000</v>
      </c>
      <c r="N12" s="6">
        <v>630000</v>
      </c>
      <c r="O12" s="1" t="s">
        <v>48</v>
      </c>
      <c r="P12" t="str">
        <f t="shared" si="0"/>
        <v>Sep</v>
      </c>
    </row>
    <row r="13" spans="1:16">
      <c r="A13" s="3" t="s">
        <v>76</v>
      </c>
      <c r="B13" s="1" t="s">
        <v>77</v>
      </c>
      <c r="C13" s="1" t="s">
        <v>78</v>
      </c>
      <c r="D13" s="1" t="s">
        <v>79</v>
      </c>
      <c r="E13" s="1" t="s">
        <v>80</v>
      </c>
      <c r="F13" s="1" t="s">
        <v>81</v>
      </c>
      <c r="G13" s="1" t="s">
        <v>82</v>
      </c>
      <c r="H13" s="1" t="s">
        <v>31</v>
      </c>
      <c r="I13" s="1">
        <v>8</v>
      </c>
      <c r="J13" s="6">
        <v>6000</v>
      </c>
      <c r="K13" s="6">
        <v>3500</v>
      </c>
      <c r="L13" s="6">
        <v>48000</v>
      </c>
      <c r="M13" s="6">
        <v>28000</v>
      </c>
      <c r="N13" s="6">
        <v>20000</v>
      </c>
      <c r="O13" s="1" t="s">
        <v>48</v>
      </c>
      <c r="P13" t="str">
        <f t="shared" si="0"/>
        <v>Mar</v>
      </c>
    </row>
    <row r="14" spans="1:16">
      <c r="A14" s="3" t="s">
        <v>83</v>
      </c>
      <c r="B14" s="1" t="s">
        <v>84</v>
      </c>
      <c r="C14" s="1" t="s">
        <v>85</v>
      </c>
      <c r="D14" s="1" t="s">
        <v>86</v>
      </c>
      <c r="E14" s="1" t="s">
        <v>36</v>
      </c>
      <c r="F14" s="1" t="s">
        <v>87</v>
      </c>
      <c r="G14" s="1" t="s">
        <v>70</v>
      </c>
      <c r="H14" s="1" t="s">
        <v>23</v>
      </c>
      <c r="I14" s="1">
        <v>7</v>
      </c>
      <c r="J14" s="6">
        <v>55000</v>
      </c>
      <c r="K14" s="6">
        <v>42000</v>
      </c>
      <c r="L14" s="6">
        <v>385000</v>
      </c>
      <c r="M14" s="6">
        <v>294000</v>
      </c>
      <c r="N14" s="6">
        <v>91000</v>
      </c>
      <c r="O14" s="1" t="s">
        <v>48</v>
      </c>
      <c r="P14" t="str">
        <f t="shared" si="0"/>
        <v>Sep</v>
      </c>
    </row>
    <row r="15" spans="1:16">
      <c r="A15" s="3">
        <v>46178</v>
      </c>
      <c r="B15" s="1" t="s">
        <v>88</v>
      </c>
      <c r="C15" s="1" t="s">
        <v>64</v>
      </c>
      <c r="D15" s="1" t="s">
        <v>89</v>
      </c>
      <c r="E15" s="1" t="s">
        <v>80</v>
      </c>
      <c r="F15" s="1" t="s">
        <v>90</v>
      </c>
      <c r="G15" s="1" t="s">
        <v>75</v>
      </c>
      <c r="H15" s="1" t="s">
        <v>39</v>
      </c>
      <c r="I15" s="1">
        <v>6</v>
      </c>
      <c r="J15" s="6">
        <v>320000</v>
      </c>
      <c r="K15" s="6">
        <v>250000</v>
      </c>
      <c r="L15" s="6">
        <v>1920000</v>
      </c>
      <c r="M15" s="6">
        <v>1500000</v>
      </c>
      <c r="N15" s="6">
        <v>420000</v>
      </c>
      <c r="O15" s="1" t="s">
        <v>24</v>
      </c>
      <c r="P15" t="str">
        <f t="shared" si="0"/>
        <v>Jun</v>
      </c>
    </row>
    <row r="16" spans="1:16">
      <c r="A16" s="3" t="s">
        <v>91</v>
      </c>
      <c r="B16" s="1" t="s">
        <v>92</v>
      </c>
      <c r="C16" s="1" t="s">
        <v>93</v>
      </c>
      <c r="D16" s="1" t="s">
        <v>94</v>
      </c>
      <c r="E16" s="1" t="s">
        <v>44</v>
      </c>
      <c r="F16" s="1" t="s">
        <v>95</v>
      </c>
      <c r="G16" s="1" t="s">
        <v>70</v>
      </c>
      <c r="H16" s="1" t="s">
        <v>23</v>
      </c>
      <c r="I16" s="1">
        <v>15</v>
      </c>
      <c r="J16" s="6">
        <v>55000</v>
      </c>
      <c r="K16" s="6">
        <v>42000</v>
      </c>
      <c r="L16" s="6">
        <v>825000</v>
      </c>
      <c r="M16" s="6">
        <v>630000</v>
      </c>
      <c r="N16" s="6">
        <v>195000</v>
      </c>
      <c r="O16" s="1" t="s">
        <v>24</v>
      </c>
      <c r="P16" t="str">
        <f t="shared" si="0"/>
        <v>Mar</v>
      </c>
    </row>
    <row r="17" spans="1:16">
      <c r="A17" s="3" t="s">
        <v>96</v>
      </c>
      <c r="B17" s="1" t="s">
        <v>97</v>
      </c>
      <c r="C17" s="1" t="s">
        <v>98</v>
      </c>
      <c r="D17" s="1" t="s">
        <v>99</v>
      </c>
      <c r="E17" s="1" t="s">
        <v>53</v>
      </c>
      <c r="F17" s="1" t="s">
        <v>100</v>
      </c>
      <c r="G17" s="1" t="s">
        <v>101</v>
      </c>
      <c r="H17" s="1" t="s">
        <v>23</v>
      </c>
      <c r="I17" s="1">
        <v>13</v>
      </c>
      <c r="J17" s="6">
        <v>14000</v>
      </c>
      <c r="K17" s="6">
        <v>9500</v>
      </c>
      <c r="L17" s="6">
        <v>182000</v>
      </c>
      <c r="M17" s="6">
        <v>123500</v>
      </c>
      <c r="N17" s="6">
        <v>58500</v>
      </c>
      <c r="O17" s="1" t="s">
        <v>48</v>
      </c>
      <c r="P17" t="str">
        <f t="shared" si="0"/>
        <v>Feb</v>
      </c>
    </row>
    <row r="18" spans="1:16">
      <c r="A18" s="3">
        <v>46362</v>
      </c>
      <c r="B18" s="1" t="s">
        <v>102</v>
      </c>
      <c r="C18" s="1" t="s">
        <v>103</v>
      </c>
      <c r="D18" s="1" t="s">
        <v>104</v>
      </c>
      <c r="E18" s="1" t="s">
        <v>53</v>
      </c>
      <c r="F18" s="1" t="s">
        <v>105</v>
      </c>
      <c r="G18" s="1" t="s">
        <v>30</v>
      </c>
      <c r="H18" s="1" t="s">
        <v>31</v>
      </c>
      <c r="I18" s="1">
        <v>15</v>
      </c>
      <c r="J18" s="6">
        <v>12000</v>
      </c>
      <c r="K18" s="6">
        <v>7000</v>
      </c>
      <c r="L18" s="6">
        <v>180000</v>
      </c>
      <c r="M18" s="6">
        <v>105000</v>
      </c>
      <c r="N18" s="6">
        <v>75000</v>
      </c>
      <c r="O18" s="1" t="s">
        <v>40</v>
      </c>
      <c r="P18" t="str">
        <f t="shared" si="0"/>
        <v>Dec</v>
      </c>
    </row>
    <row r="19" spans="1:16">
      <c r="A19" s="3" t="s">
        <v>106</v>
      </c>
      <c r="B19" s="1" t="s">
        <v>107</v>
      </c>
      <c r="C19" s="1" t="s">
        <v>108</v>
      </c>
      <c r="D19" s="1" t="s">
        <v>109</v>
      </c>
      <c r="E19" s="1" t="s">
        <v>44</v>
      </c>
      <c r="F19" s="1" t="s">
        <v>110</v>
      </c>
      <c r="G19" s="1" t="s">
        <v>30</v>
      </c>
      <c r="H19" s="1" t="s">
        <v>31</v>
      </c>
      <c r="I19" s="1">
        <v>4</v>
      </c>
      <c r="J19" s="6">
        <v>12000</v>
      </c>
      <c r="K19" s="6">
        <v>7000</v>
      </c>
      <c r="L19" s="6">
        <v>48000</v>
      </c>
      <c r="M19" s="6">
        <v>28000</v>
      </c>
      <c r="N19" s="6">
        <v>20000</v>
      </c>
      <c r="O19" s="1" t="s">
        <v>48</v>
      </c>
      <c r="P19" t="str">
        <f t="shared" si="0"/>
        <v>Jun</v>
      </c>
    </row>
    <row r="20" spans="1:16">
      <c r="A20" s="3">
        <v>46296</v>
      </c>
      <c r="B20" s="1" t="s">
        <v>111</v>
      </c>
      <c r="C20" s="1" t="s">
        <v>112</v>
      </c>
      <c r="D20" s="1" t="s">
        <v>113</v>
      </c>
      <c r="E20" s="1" t="s">
        <v>44</v>
      </c>
      <c r="F20" s="1" t="s">
        <v>114</v>
      </c>
      <c r="G20" s="1" t="s">
        <v>22</v>
      </c>
      <c r="H20" s="1" t="s">
        <v>23</v>
      </c>
      <c r="I20" s="1">
        <v>2</v>
      </c>
      <c r="J20" s="6">
        <v>18000</v>
      </c>
      <c r="K20" s="6">
        <v>12000</v>
      </c>
      <c r="L20" s="6">
        <v>36000</v>
      </c>
      <c r="M20" s="6">
        <v>24000</v>
      </c>
      <c r="N20" s="6">
        <v>12000</v>
      </c>
      <c r="O20" s="1" t="s">
        <v>40</v>
      </c>
      <c r="P20" t="str">
        <f t="shared" si="0"/>
        <v>Oct</v>
      </c>
    </row>
    <row r="21" spans="1:16">
      <c r="A21" s="3" t="s">
        <v>96</v>
      </c>
      <c r="B21" s="1" t="s">
        <v>115</v>
      </c>
      <c r="C21" s="1" t="s">
        <v>116</v>
      </c>
      <c r="D21" s="1" t="s">
        <v>117</v>
      </c>
      <c r="E21" s="1" t="s">
        <v>80</v>
      </c>
      <c r="F21" s="1" t="s">
        <v>45</v>
      </c>
      <c r="G21" s="1" t="s">
        <v>118</v>
      </c>
      <c r="H21" s="1" t="s">
        <v>39</v>
      </c>
      <c r="I21" s="1">
        <v>15</v>
      </c>
      <c r="J21" s="6">
        <v>25000</v>
      </c>
      <c r="K21" s="6">
        <v>15000</v>
      </c>
      <c r="L21" s="6">
        <v>375000</v>
      </c>
      <c r="M21" s="6">
        <v>225000</v>
      </c>
      <c r="N21" s="6">
        <v>150000</v>
      </c>
      <c r="O21" s="1" t="s">
        <v>40</v>
      </c>
      <c r="P21" t="str">
        <f t="shared" si="0"/>
        <v>Feb</v>
      </c>
    </row>
    <row r="22" spans="1:16">
      <c r="A22" s="3">
        <v>46085</v>
      </c>
      <c r="B22" s="1" t="s">
        <v>119</v>
      </c>
      <c r="C22" s="1" t="s">
        <v>120</v>
      </c>
      <c r="D22" s="1" t="s">
        <v>65</v>
      </c>
      <c r="E22" s="1" t="s">
        <v>121</v>
      </c>
      <c r="F22" s="1" t="s">
        <v>69</v>
      </c>
      <c r="G22" s="1" t="s">
        <v>101</v>
      </c>
      <c r="H22" s="1" t="s">
        <v>23</v>
      </c>
      <c r="I22" s="1">
        <v>7</v>
      </c>
      <c r="J22" s="6">
        <v>14000</v>
      </c>
      <c r="K22" s="6">
        <v>9500</v>
      </c>
      <c r="L22" s="6">
        <v>98000</v>
      </c>
      <c r="M22" s="6">
        <v>66500</v>
      </c>
      <c r="N22" s="6">
        <v>31500</v>
      </c>
      <c r="O22" s="1" t="s">
        <v>48</v>
      </c>
      <c r="P22" t="str">
        <f t="shared" si="0"/>
        <v>Mar</v>
      </c>
    </row>
    <row r="23" spans="1:16">
      <c r="A23" s="3">
        <v>46117</v>
      </c>
      <c r="B23" s="1" t="s">
        <v>122</v>
      </c>
      <c r="C23" s="1" t="s">
        <v>34</v>
      </c>
      <c r="D23" s="1" t="s">
        <v>123</v>
      </c>
      <c r="E23" s="1" t="s">
        <v>80</v>
      </c>
      <c r="F23" s="1" t="s">
        <v>62</v>
      </c>
      <c r="G23" s="1" t="s">
        <v>46</v>
      </c>
      <c r="H23" s="1" t="s">
        <v>47</v>
      </c>
      <c r="I23" s="1">
        <v>4</v>
      </c>
      <c r="J23" s="6">
        <v>65000</v>
      </c>
      <c r="K23" s="6">
        <v>50000</v>
      </c>
      <c r="L23" s="6">
        <v>260000</v>
      </c>
      <c r="M23" s="6">
        <v>200000</v>
      </c>
      <c r="N23" s="6">
        <v>60000</v>
      </c>
      <c r="O23" s="1" t="s">
        <v>48</v>
      </c>
      <c r="P23" t="str">
        <f t="shared" si="0"/>
        <v>Apr</v>
      </c>
    </row>
    <row r="24" spans="1:16">
      <c r="A24" s="3">
        <v>46174</v>
      </c>
      <c r="B24" s="1" t="s">
        <v>124</v>
      </c>
      <c r="C24" s="1" t="s">
        <v>125</v>
      </c>
      <c r="D24" s="1" t="s">
        <v>19</v>
      </c>
      <c r="E24" s="1" t="s">
        <v>80</v>
      </c>
      <c r="F24" s="1" t="s">
        <v>62</v>
      </c>
      <c r="G24" s="1" t="s">
        <v>70</v>
      </c>
      <c r="H24" s="1" t="s">
        <v>23</v>
      </c>
      <c r="I24" s="1">
        <v>13</v>
      </c>
      <c r="J24" s="6">
        <v>55000</v>
      </c>
      <c r="K24" s="6">
        <v>42000</v>
      </c>
      <c r="L24" s="6">
        <v>715000</v>
      </c>
      <c r="M24" s="6">
        <v>546000</v>
      </c>
      <c r="N24" s="6">
        <v>169000</v>
      </c>
      <c r="O24" s="1" t="s">
        <v>24</v>
      </c>
      <c r="P24" t="str">
        <f t="shared" si="0"/>
        <v>Jun</v>
      </c>
    </row>
    <row r="25" spans="1:16">
      <c r="A25" s="3">
        <v>46357</v>
      </c>
      <c r="B25" s="1" t="s">
        <v>126</v>
      </c>
      <c r="C25" s="1" t="s">
        <v>127</v>
      </c>
      <c r="D25" s="1" t="s">
        <v>128</v>
      </c>
      <c r="E25" s="1" t="s">
        <v>121</v>
      </c>
      <c r="F25" s="1" t="s">
        <v>105</v>
      </c>
      <c r="G25" s="1" t="s">
        <v>38</v>
      </c>
      <c r="H25" s="1" t="s">
        <v>39</v>
      </c>
      <c r="I25" s="1">
        <v>8</v>
      </c>
      <c r="J25" s="6">
        <v>180000</v>
      </c>
      <c r="K25" s="6">
        <v>140000</v>
      </c>
      <c r="L25" s="6">
        <v>1440000</v>
      </c>
      <c r="M25" s="6">
        <v>1120000</v>
      </c>
      <c r="N25" s="6">
        <v>320000</v>
      </c>
      <c r="O25" s="1" t="s">
        <v>48</v>
      </c>
      <c r="P25" t="str">
        <f t="shared" si="0"/>
        <v>Dec</v>
      </c>
    </row>
    <row r="26" spans="1:16">
      <c r="A26" s="3">
        <v>46271</v>
      </c>
      <c r="B26" s="1" t="s">
        <v>129</v>
      </c>
      <c r="C26" s="1" t="s">
        <v>51</v>
      </c>
      <c r="D26" s="1" t="s">
        <v>130</v>
      </c>
      <c r="E26" s="1" t="s">
        <v>80</v>
      </c>
      <c r="F26" s="1" t="s">
        <v>37</v>
      </c>
      <c r="G26" s="1" t="s">
        <v>131</v>
      </c>
      <c r="H26" s="1" t="s">
        <v>47</v>
      </c>
      <c r="I26" s="1">
        <v>12</v>
      </c>
      <c r="J26" s="6">
        <v>45000</v>
      </c>
      <c r="K26" s="6">
        <v>32000</v>
      </c>
      <c r="L26" s="6">
        <v>540000</v>
      </c>
      <c r="M26" s="6">
        <v>384000</v>
      </c>
      <c r="N26" s="6">
        <v>156000</v>
      </c>
      <c r="O26" s="1" t="s">
        <v>48</v>
      </c>
      <c r="P26" t="str">
        <f t="shared" si="0"/>
        <v>Sep</v>
      </c>
    </row>
    <row r="27" spans="1:16">
      <c r="A27" s="3">
        <v>46056</v>
      </c>
      <c r="B27" s="1" t="s">
        <v>132</v>
      </c>
      <c r="C27" s="1" t="s">
        <v>133</v>
      </c>
      <c r="D27" s="1" t="s">
        <v>134</v>
      </c>
      <c r="E27" s="1" t="s">
        <v>53</v>
      </c>
      <c r="F27" s="1" t="s">
        <v>135</v>
      </c>
      <c r="G27" s="1" t="s">
        <v>101</v>
      </c>
      <c r="H27" s="1" t="s">
        <v>23</v>
      </c>
      <c r="I27" s="1">
        <v>12</v>
      </c>
      <c r="J27" s="6">
        <v>14000</v>
      </c>
      <c r="K27" s="6">
        <v>9500</v>
      </c>
      <c r="L27" s="6">
        <v>168000</v>
      </c>
      <c r="M27" s="6">
        <v>114000</v>
      </c>
      <c r="N27" s="6">
        <v>54000</v>
      </c>
      <c r="O27" s="1" t="s">
        <v>24</v>
      </c>
      <c r="P27" t="str">
        <f t="shared" si="0"/>
        <v>Feb</v>
      </c>
    </row>
    <row r="28" spans="1:16">
      <c r="A28" s="3">
        <v>46235</v>
      </c>
      <c r="B28" s="1" t="s">
        <v>136</v>
      </c>
      <c r="C28" s="1" t="s">
        <v>137</v>
      </c>
      <c r="D28" s="1" t="s">
        <v>73</v>
      </c>
      <c r="E28" s="1" t="s">
        <v>20</v>
      </c>
      <c r="F28" s="1" t="s">
        <v>45</v>
      </c>
      <c r="G28" s="1" t="s">
        <v>75</v>
      </c>
      <c r="H28" s="1" t="s">
        <v>39</v>
      </c>
      <c r="I28" s="1">
        <v>9</v>
      </c>
      <c r="J28" s="6">
        <v>320000</v>
      </c>
      <c r="K28" s="6">
        <v>250000</v>
      </c>
      <c r="L28" s="6">
        <v>2880000</v>
      </c>
      <c r="M28" s="6">
        <v>2250000</v>
      </c>
      <c r="N28" s="6">
        <v>630000</v>
      </c>
      <c r="O28" s="1" t="s">
        <v>24</v>
      </c>
      <c r="P28" t="str">
        <f t="shared" si="0"/>
        <v>Aug</v>
      </c>
    </row>
    <row r="29" spans="1:16">
      <c r="A29" s="3">
        <v>46238</v>
      </c>
      <c r="B29" s="1" t="s">
        <v>138</v>
      </c>
      <c r="C29" s="1" t="s">
        <v>139</v>
      </c>
      <c r="D29" s="1" t="s">
        <v>140</v>
      </c>
      <c r="E29" s="1" t="s">
        <v>36</v>
      </c>
      <c r="F29" s="1" t="s">
        <v>141</v>
      </c>
      <c r="G29" s="1" t="s">
        <v>118</v>
      </c>
      <c r="H29" s="1" t="s">
        <v>39</v>
      </c>
      <c r="I29" s="1">
        <v>10</v>
      </c>
      <c r="J29" s="6">
        <v>25000</v>
      </c>
      <c r="K29" s="6">
        <v>15000</v>
      </c>
      <c r="L29" s="6">
        <v>250000</v>
      </c>
      <c r="M29" s="6">
        <v>150000</v>
      </c>
      <c r="N29" s="6">
        <v>100000</v>
      </c>
      <c r="O29" s="1" t="s">
        <v>24</v>
      </c>
      <c r="P29" t="str">
        <f t="shared" si="0"/>
        <v>Aug</v>
      </c>
    </row>
    <row r="30" spans="1:16">
      <c r="A30" s="3" t="s">
        <v>142</v>
      </c>
      <c r="B30" s="1" t="s">
        <v>143</v>
      </c>
      <c r="C30" s="1" t="s">
        <v>144</v>
      </c>
      <c r="D30" s="1" t="s">
        <v>145</v>
      </c>
      <c r="E30" s="1" t="s">
        <v>44</v>
      </c>
      <c r="F30" s="1" t="s">
        <v>81</v>
      </c>
      <c r="G30" s="1" t="s">
        <v>118</v>
      </c>
      <c r="H30" s="1" t="s">
        <v>39</v>
      </c>
      <c r="I30" s="1">
        <v>12</v>
      </c>
      <c r="J30" s="6">
        <v>25000</v>
      </c>
      <c r="K30" s="6">
        <v>15000</v>
      </c>
      <c r="L30" s="6">
        <v>300000</v>
      </c>
      <c r="M30" s="6">
        <v>180000</v>
      </c>
      <c r="N30" s="6">
        <v>120000</v>
      </c>
      <c r="O30" s="1" t="s">
        <v>24</v>
      </c>
      <c r="P30" t="str">
        <f t="shared" si="0"/>
        <v>Dec</v>
      </c>
    </row>
    <row r="31" spans="1:16">
      <c r="A31" s="3">
        <v>46057</v>
      </c>
      <c r="B31" s="1" t="s">
        <v>146</v>
      </c>
      <c r="C31" s="1" t="s">
        <v>85</v>
      </c>
      <c r="D31" s="1" t="s">
        <v>128</v>
      </c>
      <c r="E31" s="1" t="s">
        <v>80</v>
      </c>
      <c r="F31" s="1" t="s">
        <v>147</v>
      </c>
      <c r="G31" s="1" t="s">
        <v>22</v>
      </c>
      <c r="H31" s="1" t="s">
        <v>23</v>
      </c>
      <c r="I31" s="1">
        <v>8</v>
      </c>
      <c r="J31" s="6">
        <v>18000</v>
      </c>
      <c r="K31" s="6">
        <v>12000</v>
      </c>
      <c r="L31" s="6">
        <v>144000</v>
      </c>
      <c r="M31" s="6">
        <v>96000</v>
      </c>
      <c r="N31" s="6">
        <v>48000</v>
      </c>
      <c r="O31" s="1" t="s">
        <v>48</v>
      </c>
      <c r="P31" t="str">
        <f t="shared" si="0"/>
        <v>Feb</v>
      </c>
    </row>
    <row r="32" spans="1:16">
      <c r="A32" s="3" t="s">
        <v>32</v>
      </c>
      <c r="B32" s="1" t="s">
        <v>148</v>
      </c>
      <c r="C32" s="1" t="s">
        <v>144</v>
      </c>
      <c r="D32" s="1" t="s">
        <v>99</v>
      </c>
      <c r="E32" s="1" t="s">
        <v>44</v>
      </c>
      <c r="F32" s="1" t="s">
        <v>90</v>
      </c>
      <c r="G32" s="1" t="s">
        <v>46</v>
      </c>
      <c r="H32" s="1" t="s">
        <v>47</v>
      </c>
      <c r="I32" s="1">
        <v>15</v>
      </c>
      <c r="J32" s="6">
        <v>65000</v>
      </c>
      <c r="K32" s="6">
        <v>50000</v>
      </c>
      <c r="L32" s="6">
        <v>975000</v>
      </c>
      <c r="M32" s="6">
        <v>750000</v>
      </c>
      <c r="N32" s="6">
        <v>225000</v>
      </c>
      <c r="O32" s="1" t="s">
        <v>24</v>
      </c>
      <c r="P32" t="str">
        <f t="shared" si="0"/>
        <v>Oct</v>
      </c>
    </row>
    <row r="33" spans="1:16">
      <c r="A33" s="3" t="s">
        <v>83</v>
      </c>
      <c r="B33" s="1" t="s">
        <v>149</v>
      </c>
      <c r="C33" s="1" t="s">
        <v>150</v>
      </c>
      <c r="D33" s="1" t="s">
        <v>79</v>
      </c>
      <c r="E33" s="1" t="s">
        <v>20</v>
      </c>
      <c r="F33" s="1" t="s">
        <v>87</v>
      </c>
      <c r="G33" s="1" t="s">
        <v>151</v>
      </c>
      <c r="H33" s="1" t="s">
        <v>47</v>
      </c>
      <c r="I33" s="1">
        <v>2</v>
      </c>
      <c r="J33" s="6">
        <v>28000</v>
      </c>
      <c r="K33" s="6">
        <v>21000</v>
      </c>
      <c r="L33" s="6">
        <v>56000</v>
      </c>
      <c r="M33" s="6">
        <v>42000</v>
      </c>
      <c r="N33" s="6">
        <v>14000</v>
      </c>
      <c r="O33" s="1" t="s">
        <v>48</v>
      </c>
      <c r="P33" t="str">
        <f t="shared" si="0"/>
        <v>Sep</v>
      </c>
    </row>
    <row r="34" spans="1:16">
      <c r="A34" s="3" t="s">
        <v>83</v>
      </c>
      <c r="B34" s="1" t="s">
        <v>152</v>
      </c>
      <c r="C34" s="1" t="s">
        <v>153</v>
      </c>
      <c r="D34" s="1" t="s">
        <v>19</v>
      </c>
      <c r="E34" s="1" t="s">
        <v>53</v>
      </c>
      <c r="F34" s="1" t="s">
        <v>29</v>
      </c>
      <c r="G34" s="1" t="s">
        <v>118</v>
      </c>
      <c r="H34" s="1" t="s">
        <v>39</v>
      </c>
      <c r="I34" s="1">
        <v>6</v>
      </c>
      <c r="J34" s="6">
        <v>25000</v>
      </c>
      <c r="K34" s="6">
        <v>15000</v>
      </c>
      <c r="L34" s="6">
        <v>150000</v>
      </c>
      <c r="M34" s="6">
        <v>90000</v>
      </c>
      <c r="N34" s="6">
        <v>60000</v>
      </c>
      <c r="O34" s="1" t="s">
        <v>40</v>
      </c>
      <c r="P34" t="str">
        <f t="shared" si="0"/>
        <v>Sep</v>
      </c>
    </row>
    <row r="35" spans="1:16">
      <c r="A35" s="3">
        <v>46359</v>
      </c>
      <c r="B35" s="1" t="s">
        <v>154</v>
      </c>
      <c r="C35" s="1" t="s">
        <v>155</v>
      </c>
      <c r="D35" s="1" t="s">
        <v>156</v>
      </c>
      <c r="E35" s="1" t="s">
        <v>20</v>
      </c>
      <c r="F35" s="1" t="s">
        <v>114</v>
      </c>
      <c r="G35" s="1" t="s">
        <v>46</v>
      </c>
      <c r="H35" s="1" t="s">
        <v>47</v>
      </c>
      <c r="I35" s="1">
        <v>1</v>
      </c>
      <c r="J35" s="6">
        <v>65000</v>
      </c>
      <c r="K35" s="6">
        <v>50000</v>
      </c>
      <c r="L35" s="6">
        <v>65000</v>
      </c>
      <c r="M35" s="6">
        <v>50000</v>
      </c>
      <c r="N35" s="6">
        <v>15000</v>
      </c>
      <c r="O35" s="1" t="s">
        <v>48</v>
      </c>
      <c r="P35" t="str">
        <f t="shared" si="0"/>
        <v>Dec</v>
      </c>
    </row>
    <row r="36" spans="1:16">
      <c r="A36" s="3" t="s">
        <v>157</v>
      </c>
      <c r="B36" s="1" t="s">
        <v>158</v>
      </c>
      <c r="C36" s="1" t="s">
        <v>159</v>
      </c>
      <c r="D36" s="1" t="s">
        <v>160</v>
      </c>
      <c r="E36" s="1" t="s">
        <v>53</v>
      </c>
      <c r="F36" s="1" t="s">
        <v>147</v>
      </c>
      <c r="G36" s="1" t="s">
        <v>22</v>
      </c>
      <c r="H36" s="1" t="s">
        <v>23</v>
      </c>
      <c r="I36" s="1">
        <v>2</v>
      </c>
      <c r="J36" s="6">
        <v>18000</v>
      </c>
      <c r="K36" s="6">
        <v>12000</v>
      </c>
      <c r="L36" s="6">
        <v>36000</v>
      </c>
      <c r="M36" s="6">
        <v>24000</v>
      </c>
      <c r="N36" s="6">
        <v>12000</v>
      </c>
      <c r="O36" s="1" t="s">
        <v>40</v>
      </c>
      <c r="P36" t="str">
        <f t="shared" si="0"/>
        <v>Aug</v>
      </c>
    </row>
    <row r="37" spans="1:16">
      <c r="A37" s="3" t="s">
        <v>161</v>
      </c>
      <c r="B37" s="1" t="s">
        <v>162</v>
      </c>
      <c r="C37" s="1" t="s">
        <v>163</v>
      </c>
      <c r="D37" s="1" t="s">
        <v>164</v>
      </c>
      <c r="E37" s="1" t="s">
        <v>36</v>
      </c>
      <c r="F37" s="1" t="s">
        <v>114</v>
      </c>
      <c r="G37" s="1" t="s">
        <v>70</v>
      </c>
      <c r="H37" s="1" t="s">
        <v>23</v>
      </c>
      <c r="I37" s="1">
        <v>6</v>
      </c>
      <c r="J37" s="6">
        <v>55000</v>
      </c>
      <c r="K37" s="6">
        <v>42000</v>
      </c>
      <c r="L37" s="6">
        <v>330000</v>
      </c>
      <c r="M37" s="6">
        <v>252000</v>
      </c>
      <c r="N37" s="6">
        <v>78000</v>
      </c>
      <c r="O37" s="1" t="s">
        <v>48</v>
      </c>
      <c r="P37" t="str">
        <f t="shared" si="0"/>
        <v>Feb</v>
      </c>
    </row>
    <row r="38" spans="1:16">
      <c r="A38" s="3" t="s">
        <v>165</v>
      </c>
      <c r="B38" s="1" t="s">
        <v>166</v>
      </c>
      <c r="C38" s="1" t="s">
        <v>116</v>
      </c>
      <c r="D38" s="1" t="s">
        <v>167</v>
      </c>
      <c r="E38" s="1" t="s">
        <v>20</v>
      </c>
      <c r="F38" s="1" t="s">
        <v>168</v>
      </c>
      <c r="G38" s="1" t="s">
        <v>82</v>
      </c>
      <c r="H38" s="1" t="s">
        <v>31</v>
      </c>
      <c r="I38" s="1">
        <v>12</v>
      </c>
      <c r="J38" s="6">
        <v>6000</v>
      </c>
      <c r="K38" s="6">
        <v>3500</v>
      </c>
      <c r="L38" s="6">
        <v>72000</v>
      </c>
      <c r="M38" s="6">
        <v>42000</v>
      </c>
      <c r="N38" s="6">
        <v>30000</v>
      </c>
      <c r="O38" s="1" t="s">
        <v>48</v>
      </c>
      <c r="P38" t="str">
        <f t="shared" si="0"/>
        <v>Nov</v>
      </c>
    </row>
    <row r="39" spans="1:16">
      <c r="A39" s="3" t="s">
        <v>169</v>
      </c>
      <c r="B39" s="1" t="s">
        <v>170</v>
      </c>
      <c r="C39" s="1" t="s">
        <v>163</v>
      </c>
      <c r="D39" s="1" t="s">
        <v>171</v>
      </c>
      <c r="E39" s="1" t="s">
        <v>53</v>
      </c>
      <c r="F39" s="1" t="s">
        <v>54</v>
      </c>
      <c r="G39" s="1" t="s">
        <v>131</v>
      </c>
      <c r="H39" s="1" t="s">
        <v>47</v>
      </c>
      <c r="I39" s="1">
        <v>13</v>
      </c>
      <c r="J39" s="6">
        <v>45000</v>
      </c>
      <c r="K39" s="6">
        <v>32000</v>
      </c>
      <c r="L39" s="6">
        <v>585000</v>
      </c>
      <c r="M39" s="6">
        <v>416000</v>
      </c>
      <c r="N39" s="6">
        <v>169000</v>
      </c>
      <c r="O39" s="1" t="s">
        <v>24</v>
      </c>
      <c r="P39" t="str">
        <f t="shared" si="0"/>
        <v>May</v>
      </c>
    </row>
    <row r="40" spans="1:16">
      <c r="A40" s="3">
        <v>46086</v>
      </c>
      <c r="B40" s="1" t="s">
        <v>172</v>
      </c>
      <c r="C40" s="1" t="s">
        <v>108</v>
      </c>
      <c r="D40" s="1" t="s">
        <v>167</v>
      </c>
      <c r="E40" s="1" t="s">
        <v>121</v>
      </c>
      <c r="F40" s="1" t="s">
        <v>37</v>
      </c>
      <c r="G40" s="1" t="s">
        <v>30</v>
      </c>
      <c r="H40" s="1" t="s">
        <v>31</v>
      </c>
      <c r="I40" s="1">
        <v>4</v>
      </c>
      <c r="J40" s="6">
        <v>12000</v>
      </c>
      <c r="K40" s="6">
        <v>7000</v>
      </c>
      <c r="L40" s="6">
        <v>48000</v>
      </c>
      <c r="M40" s="6">
        <v>28000</v>
      </c>
      <c r="N40" s="6">
        <v>20000</v>
      </c>
      <c r="O40" s="1" t="s">
        <v>48</v>
      </c>
      <c r="P40" t="str">
        <f t="shared" si="0"/>
        <v>Mar</v>
      </c>
    </row>
    <row r="41" spans="1:16">
      <c r="A41" s="3">
        <v>46087</v>
      </c>
      <c r="B41" s="1" t="s">
        <v>173</v>
      </c>
      <c r="C41" s="1" t="s">
        <v>78</v>
      </c>
      <c r="D41" s="1" t="s">
        <v>174</v>
      </c>
      <c r="E41" s="1" t="s">
        <v>44</v>
      </c>
      <c r="F41" s="1" t="s">
        <v>90</v>
      </c>
      <c r="G41" s="1" t="s">
        <v>175</v>
      </c>
      <c r="H41" s="1" t="s">
        <v>31</v>
      </c>
      <c r="I41" s="1">
        <v>5</v>
      </c>
      <c r="J41" s="6">
        <v>25000</v>
      </c>
      <c r="K41" s="6">
        <v>18000</v>
      </c>
      <c r="L41" s="6">
        <v>125000</v>
      </c>
      <c r="M41" s="6">
        <v>90000</v>
      </c>
      <c r="N41" s="6">
        <v>35000</v>
      </c>
      <c r="O41" s="1" t="s">
        <v>40</v>
      </c>
      <c r="P41" t="str">
        <f t="shared" si="0"/>
        <v>Mar</v>
      </c>
    </row>
    <row r="42" spans="1:16">
      <c r="A42" s="3" t="s">
        <v>176</v>
      </c>
      <c r="B42" s="1" t="s">
        <v>177</v>
      </c>
      <c r="C42" s="1" t="s">
        <v>178</v>
      </c>
      <c r="D42" s="1" t="s">
        <v>140</v>
      </c>
      <c r="E42" s="1" t="s">
        <v>44</v>
      </c>
      <c r="F42" s="1" t="s">
        <v>29</v>
      </c>
      <c r="G42" s="1" t="s">
        <v>70</v>
      </c>
      <c r="H42" s="1" t="s">
        <v>23</v>
      </c>
      <c r="I42" s="1">
        <v>3</v>
      </c>
      <c r="J42" s="6">
        <v>55000</v>
      </c>
      <c r="K42" s="6">
        <v>42000</v>
      </c>
      <c r="L42" s="6">
        <v>165000</v>
      </c>
      <c r="M42" s="6">
        <v>126000</v>
      </c>
      <c r="N42" s="6">
        <v>39000</v>
      </c>
      <c r="O42" s="1" t="s">
        <v>40</v>
      </c>
      <c r="P42" t="str">
        <f t="shared" si="0"/>
        <v>Oct</v>
      </c>
    </row>
    <row r="43" spans="1:16">
      <c r="A43" s="3" t="s">
        <v>179</v>
      </c>
      <c r="B43" s="1" t="s">
        <v>180</v>
      </c>
      <c r="C43" s="1" t="s">
        <v>139</v>
      </c>
      <c r="D43" s="1" t="s">
        <v>43</v>
      </c>
      <c r="E43" s="1" t="s">
        <v>44</v>
      </c>
      <c r="F43" s="1" t="s">
        <v>37</v>
      </c>
      <c r="G43" s="1" t="s">
        <v>70</v>
      </c>
      <c r="H43" s="1" t="s">
        <v>23</v>
      </c>
      <c r="I43" s="1">
        <v>15</v>
      </c>
      <c r="J43" s="6">
        <v>55000</v>
      </c>
      <c r="K43" s="6">
        <v>42000</v>
      </c>
      <c r="L43" s="6">
        <v>825000</v>
      </c>
      <c r="M43" s="6">
        <v>630000</v>
      </c>
      <c r="N43" s="6">
        <v>195000</v>
      </c>
      <c r="O43" s="1" t="s">
        <v>48</v>
      </c>
      <c r="P43" t="str">
        <f t="shared" si="0"/>
        <v>Dec</v>
      </c>
    </row>
    <row r="44" spans="1:16">
      <c r="A44" s="3" t="s">
        <v>181</v>
      </c>
      <c r="B44" s="1" t="s">
        <v>182</v>
      </c>
      <c r="C44" s="1" t="s">
        <v>144</v>
      </c>
      <c r="D44" s="1" t="s">
        <v>134</v>
      </c>
      <c r="E44" s="1" t="s">
        <v>44</v>
      </c>
      <c r="F44" s="1" t="s">
        <v>87</v>
      </c>
      <c r="G44" s="1" t="s">
        <v>131</v>
      </c>
      <c r="H44" s="1" t="s">
        <v>47</v>
      </c>
      <c r="I44" s="1">
        <v>2</v>
      </c>
      <c r="J44" s="6">
        <v>45000</v>
      </c>
      <c r="K44" s="6">
        <v>32000</v>
      </c>
      <c r="L44" s="6">
        <v>90000</v>
      </c>
      <c r="M44" s="6">
        <v>64000</v>
      </c>
      <c r="N44" s="6">
        <v>26000</v>
      </c>
      <c r="O44" s="1" t="s">
        <v>48</v>
      </c>
      <c r="P44" t="str">
        <f t="shared" si="0"/>
        <v>Sep</v>
      </c>
    </row>
    <row r="45" spans="1:16">
      <c r="A45" s="3" t="s">
        <v>183</v>
      </c>
      <c r="B45" s="1" t="s">
        <v>184</v>
      </c>
      <c r="C45" s="1" t="s">
        <v>185</v>
      </c>
      <c r="D45" s="1" t="s">
        <v>186</v>
      </c>
      <c r="E45" s="1" t="s">
        <v>80</v>
      </c>
      <c r="F45" s="1" t="s">
        <v>100</v>
      </c>
      <c r="G45" s="1" t="s">
        <v>175</v>
      </c>
      <c r="H45" s="1" t="s">
        <v>31</v>
      </c>
      <c r="I45" s="1">
        <v>7</v>
      </c>
      <c r="J45" s="6">
        <v>25000</v>
      </c>
      <c r="K45" s="6">
        <v>18000</v>
      </c>
      <c r="L45" s="6">
        <v>175000</v>
      </c>
      <c r="M45" s="6">
        <v>126000</v>
      </c>
      <c r="N45" s="6">
        <v>49000</v>
      </c>
      <c r="O45" s="1" t="s">
        <v>24</v>
      </c>
      <c r="P45" t="str">
        <f t="shared" si="0"/>
        <v>Feb</v>
      </c>
    </row>
    <row r="46" spans="1:16">
      <c r="A46" s="3">
        <v>46024</v>
      </c>
      <c r="B46" s="1" t="s">
        <v>187</v>
      </c>
      <c r="C46" s="1" t="s">
        <v>64</v>
      </c>
      <c r="D46" s="1" t="s">
        <v>123</v>
      </c>
      <c r="E46" s="1" t="s">
        <v>44</v>
      </c>
      <c r="F46" s="1" t="s">
        <v>105</v>
      </c>
      <c r="G46" s="1" t="s">
        <v>131</v>
      </c>
      <c r="H46" s="1" t="s">
        <v>47</v>
      </c>
      <c r="I46" s="1">
        <v>9</v>
      </c>
      <c r="J46" s="6">
        <v>45000</v>
      </c>
      <c r="K46" s="6">
        <v>32000</v>
      </c>
      <c r="L46" s="6">
        <v>405000</v>
      </c>
      <c r="M46" s="6">
        <v>288000</v>
      </c>
      <c r="N46" s="6">
        <v>117000</v>
      </c>
      <c r="O46" s="1" t="s">
        <v>24</v>
      </c>
      <c r="P46" t="str">
        <f t="shared" si="0"/>
        <v>Jan</v>
      </c>
    </row>
    <row r="47" spans="1:16">
      <c r="A47" s="3">
        <v>46024</v>
      </c>
      <c r="B47" s="1" t="s">
        <v>188</v>
      </c>
      <c r="C47" s="1" t="s">
        <v>189</v>
      </c>
      <c r="D47" s="1" t="s">
        <v>174</v>
      </c>
      <c r="E47" s="1" t="s">
        <v>53</v>
      </c>
      <c r="F47" s="1" t="s">
        <v>110</v>
      </c>
      <c r="G47" s="1" t="s">
        <v>82</v>
      </c>
      <c r="H47" s="1" t="s">
        <v>31</v>
      </c>
      <c r="I47" s="1">
        <v>4</v>
      </c>
      <c r="J47" s="6">
        <v>6000</v>
      </c>
      <c r="K47" s="6">
        <v>3500</v>
      </c>
      <c r="L47" s="6">
        <v>24000</v>
      </c>
      <c r="M47" s="6">
        <v>14000</v>
      </c>
      <c r="N47" s="6">
        <v>10000</v>
      </c>
      <c r="O47" s="1" t="s">
        <v>40</v>
      </c>
      <c r="P47" t="str">
        <f t="shared" si="0"/>
        <v>Jan</v>
      </c>
    </row>
    <row r="48" spans="1:16">
      <c r="A48" s="3" t="s">
        <v>190</v>
      </c>
      <c r="B48" s="1" t="s">
        <v>191</v>
      </c>
      <c r="C48" s="1" t="s">
        <v>192</v>
      </c>
      <c r="D48" s="1" t="s">
        <v>193</v>
      </c>
      <c r="E48" s="1" t="s">
        <v>20</v>
      </c>
      <c r="F48" s="1" t="s">
        <v>100</v>
      </c>
      <c r="G48" s="1" t="s">
        <v>118</v>
      </c>
      <c r="H48" s="1" t="s">
        <v>39</v>
      </c>
      <c r="I48" s="1">
        <v>5</v>
      </c>
      <c r="J48" s="6">
        <v>25000</v>
      </c>
      <c r="K48" s="6">
        <v>15000</v>
      </c>
      <c r="L48" s="6">
        <v>125000</v>
      </c>
      <c r="M48" s="6">
        <v>75000</v>
      </c>
      <c r="N48" s="6">
        <v>50000</v>
      </c>
      <c r="O48" s="1" t="s">
        <v>24</v>
      </c>
      <c r="P48" t="str">
        <f t="shared" si="0"/>
        <v>Jul</v>
      </c>
    </row>
    <row r="49" spans="1:16">
      <c r="A49" s="3">
        <v>46359</v>
      </c>
      <c r="B49" s="1" t="s">
        <v>194</v>
      </c>
      <c r="C49" s="1" t="s">
        <v>195</v>
      </c>
      <c r="D49" s="1" t="s">
        <v>73</v>
      </c>
      <c r="E49" s="1" t="s">
        <v>80</v>
      </c>
      <c r="F49" s="1" t="s">
        <v>62</v>
      </c>
      <c r="G49" s="1" t="s">
        <v>70</v>
      </c>
      <c r="H49" s="1" t="s">
        <v>23</v>
      </c>
      <c r="I49" s="1">
        <v>7</v>
      </c>
      <c r="J49" s="6">
        <v>55000</v>
      </c>
      <c r="K49" s="6">
        <v>42000</v>
      </c>
      <c r="L49" s="6">
        <v>385000</v>
      </c>
      <c r="M49" s="6">
        <v>294000</v>
      </c>
      <c r="N49" s="6">
        <v>91000</v>
      </c>
      <c r="O49" s="1" t="s">
        <v>40</v>
      </c>
      <c r="P49" t="str">
        <f t="shared" si="0"/>
        <v>Dec</v>
      </c>
    </row>
    <row r="50" spans="1:16">
      <c r="A50" s="3">
        <v>46029</v>
      </c>
      <c r="B50" s="1" t="s">
        <v>196</v>
      </c>
      <c r="C50" s="1" t="s">
        <v>139</v>
      </c>
      <c r="D50" s="1" t="s">
        <v>123</v>
      </c>
      <c r="E50" s="1" t="s">
        <v>36</v>
      </c>
      <c r="F50" s="1" t="s">
        <v>54</v>
      </c>
      <c r="G50" s="1" t="s">
        <v>118</v>
      </c>
      <c r="H50" s="1" t="s">
        <v>39</v>
      </c>
      <c r="I50" s="1">
        <v>12</v>
      </c>
      <c r="J50" s="6">
        <v>25000</v>
      </c>
      <c r="K50" s="6">
        <v>15000</v>
      </c>
      <c r="L50" s="6">
        <v>300000</v>
      </c>
      <c r="M50" s="6">
        <v>180000</v>
      </c>
      <c r="N50" s="6">
        <v>120000</v>
      </c>
      <c r="O50" s="1" t="s">
        <v>24</v>
      </c>
      <c r="P50" t="str">
        <f t="shared" si="0"/>
        <v>Jan</v>
      </c>
    </row>
    <row r="51" spans="1:16">
      <c r="A51" s="3">
        <v>46362</v>
      </c>
      <c r="B51" s="1" t="s">
        <v>197</v>
      </c>
      <c r="C51" s="1" t="s">
        <v>198</v>
      </c>
      <c r="D51" s="1" t="s">
        <v>199</v>
      </c>
      <c r="E51" s="1" t="s">
        <v>121</v>
      </c>
      <c r="F51" s="1" t="s">
        <v>100</v>
      </c>
      <c r="G51" s="1" t="s">
        <v>75</v>
      </c>
      <c r="H51" s="1" t="s">
        <v>39</v>
      </c>
      <c r="I51" s="1">
        <v>8</v>
      </c>
      <c r="J51" s="6">
        <v>320000</v>
      </c>
      <c r="K51" s="6">
        <v>250000</v>
      </c>
      <c r="L51" s="6">
        <v>2560000</v>
      </c>
      <c r="M51" s="6">
        <v>2000000</v>
      </c>
      <c r="N51" s="6">
        <v>560000</v>
      </c>
      <c r="O51" s="1" t="s">
        <v>24</v>
      </c>
      <c r="P51" t="str">
        <f t="shared" si="0"/>
        <v>Dec</v>
      </c>
    </row>
    <row r="52" spans="1:16">
      <c r="A52" s="3" t="s">
        <v>96</v>
      </c>
      <c r="B52" s="1" t="s">
        <v>200</v>
      </c>
      <c r="C52" s="1" t="s">
        <v>34</v>
      </c>
      <c r="D52" s="1" t="s">
        <v>201</v>
      </c>
      <c r="E52" s="1" t="s">
        <v>53</v>
      </c>
      <c r="F52" s="1" t="s">
        <v>95</v>
      </c>
      <c r="G52" s="1" t="s">
        <v>82</v>
      </c>
      <c r="H52" s="1" t="s">
        <v>31</v>
      </c>
      <c r="I52" s="1">
        <v>8</v>
      </c>
      <c r="J52" s="6">
        <v>6000</v>
      </c>
      <c r="K52" s="6">
        <v>3500</v>
      </c>
      <c r="L52" s="6">
        <v>48000</v>
      </c>
      <c r="M52" s="6">
        <v>28000</v>
      </c>
      <c r="N52" s="6">
        <v>20000</v>
      </c>
      <c r="O52" s="1" t="s">
        <v>48</v>
      </c>
      <c r="P52" t="str">
        <f t="shared" si="0"/>
        <v>Feb</v>
      </c>
    </row>
    <row r="53" spans="1:16">
      <c r="A53" s="3" t="s">
        <v>202</v>
      </c>
      <c r="B53" s="1" t="s">
        <v>203</v>
      </c>
      <c r="C53" s="1" t="s">
        <v>18</v>
      </c>
      <c r="D53" s="1" t="s">
        <v>94</v>
      </c>
      <c r="E53" s="1" t="s">
        <v>44</v>
      </c>
      <c r="F53" s="1" t="s">
        <v>147</v>
      </c>
      <c r="G53" s="1" t="s">
        <v>38</v>
      </c>
      <c r="H53" s="1" t="s">
        <v>39</v>
      </c>
      <c r="I53" s="1">
        <v>8</v>
      </c>
      <c r="J53" s="6">
        <v>180000</v>
      </c>
      <c r="K53" s="6">
        <v>140000</v>
      </c>
      <c r="L53" s="6">
        <v>1440000</v>
      </c>
      <c r="M53" s="6">
        <v>1120000</v>
      </c>
      <c r="N53" s="6">
        <v>320000</v>
      </c>
      <c r="O53" s="1" t="s">
        <v>40</v>
      </c>
      <c r="P53" t="str">
        <f t="shared" si="0"/>
        <v>Feb</v>
      </c>
    </row>
    <row r="54" spans="1:16">
      <c r="A54" s="3">
        <v>46060</v>
      </c>
      <c r="B54" s="1" t="s">
        <v>204</v>
      </c>
      <c r="C54" s="1" t="s">
        <v>205</v>
      </c>
      <c r="D54" s="1" t="s">
        <v>28</v>
      </c>
      <c r="E54" s="1" t="s">
        <v>53</v>
      </c>
      <c r="F54" s="1" t="s">
        <v>105</v>
      </c>
      <c r="G54" s="1" t="s">
        <v>75</v>
      </c>
      <c r="H54" s="1" t="s">
        <v>39</v>
      </c>
      <c r="I54" s="1">
        <v>7</v>
      </c>
      <c r="J54" s="6">
        <v>320000</v>
      </c>
      <c r="K54" s="6">
        <v>250000</v>
      </c>
      <c r="L54" s="6">
        <v>2240000</v>
      </c>
      <c r="M54" s="6">
        <v>1750000</v>
      </c>
      <c r="N54" s="6">
        <v>490000</v>
      </c>
      <c r="O54" s="1" t="s">
        <v>40</v>
      </c>
      <c r="P54" t="str">
        <f t="shared" si="0"/>
        <v>Feb</v>
      </c>
    </row>
    <row r="55" spans="1:16">
      <c r="A55" s="3">
        <v>46083</v>
      </c>
      <c r="B55" s="1" t="s">
        <v>206</v>
      </c>
      <c r="C55" s="1" t="s">
        <v>185</v>
      </c>
      <c r="D55" s="1" t="s">
        <v>207</v>
      </c>
      <c r="E55" s="1" t="s">
        <v>121</v>
      </c>
      <c r="F55" s="1" t="s">
        <v>90</v>
      </c>
      <c r="G55" s="1" t="s">
        <v>30</v>
      </c>
      <c r="H55" s="1" t="s">
        <v>31</v>
      </c>
      <c r="I55" s="1">
        <v>4</v>
      </c>
      <c r="J55" s="6">
        <v>12000</v>
      </c>
      <c r="K55" s="6">
        <v>7000</v>
      </c>
      <c r="L55" s="6">
        <v>48000</v>
      </c>
      <c r="M55" s="6">
        <v>28000</v>
      </c>
      <c r="N55" s="6">
        <v>20000</v>
      </c>
      <c r="O55" s="1" t="s">
        <v>48</v>
      </c>
      <c r="P55" t="str">
        <f t="shared" si="0"/>
        <v>Mar</v>
      </c>
    </row>
    <row r="56" spans="1:16">
      <c r="A56" s="3">
        <v>46241</v>
      </c>
      <c r="B56" s="1" t="s">
        <v>208</v>
      </c>
      <c r="C56" s="1" t="s">
        <v>108</v>
      </c>
      <c r="D56" s="1" t="s">
        <v>89</v>
      </c>
      <c r="E56" s="1" t="s">
        <v>121</v>
      </c>
      <c r="F56" s="1" t="s">
        <v>62</v>
      </c>
      <c r="G56" s="1" t="s">
        <v>131</v>
      </c>
      <c r="H56" s="1" t="s">
        <v>47</v>
      </c>
      <c r="I56" s="1">
        <v>13</v>
      </c>
      <c r="J56" s="6">
        <v>45000</v>
      </c>
      <c r="K56" s="6">
        <v>32000</v>
      </c>
      <c r="L56" s="6">
        <v>585000</v>
      </c>
      <c r="M56" s="6">
        <v>416000</v>
      </c>
      <c r="N56" s="6">
        <v>169000</v>
      </c>
      <c r="O56" s="1" t="s">
        <v>24</v>
      </c>
      <c r="P56" t="str">
        <f t="shared" si="0"/>
        <v>Aug</v>
      </c>
    </row>
    <row r="57" spans="1:16">
      <c r="A57" s="3">
        <v>46062</v>
      </c>
      <c r="B57" s="1" t="s">
        <v>209</v>
      </c>
      <c r="C57" s="1" t="s">
        <v>61</v>
      </c>
      <c r="D57" s="1" t="s">
        <v>123</v>
      </c>
      <c r="E57" s="1" t="s">
        <v>210</v>
      </c>
      <c r="F57" s="1" t="s">
        <v>147</v>
      </c>
      <c r="G57" s="1" t="s">
        <v>131</v>
      </c>
      <c r="H57" s="1" t="s">
        <v>47</v>
      </c>
      <c r="I57" s="1">
        <v>8</v>
      </c>
      <c r="J57" s="6">
        <v>45000</v>
      </c>
      <c r="K57" s="6">
        <v>32000</v>
      </c>
      <c r="L57" s="6">
        <v>360000</v>
      </c>
      <c r="M57" s="6">
        <v>256000</v>
      </c>
      <c r="N57" s="6">
        <v>104000</v>
      </c>
      <c r="O57" s="1" t="s">
        <v>40</v>
      </c>
      <c r="P57" t="str">
        <f t="shared" si="0"/>
        <v>Feb</v>
      </c>
    </row>
    <row r="58" spans="1:16">
      <c r="A58" s="3">
        <v>46243</v>
      </c>
      <c r="B58" s="1" t="s">
        <v>211</v>
      </c>
      <c r="C58" s="1" t="s">
        <v>212</v>
      </c>
      <c r="D58" s="1" t="s">
        <v>213</v>
      </c>
      <c r="E58" s="1" t="s">
        <v>36</v>
      </c>
      <c r="F58" s="1" t="s">
        <v>54</v>
      </c>
      <c r="G58" s="1" t="s">
        <v>70</v>
      </c>
      <c r="H58" s="1" t="s">
        <v>23</v>
      </c>
      <c r="I58" s="1">
        <v>10</v>
      </c>
      <c r="J58" s="6">
        <v>55000</v>
      </c>
      <c r="K58" s="6">
        <v>42000</v>
      </c>
      <c r="L58" s="6">
        <v>550000</v>
      </c>
      <c r="M58" s="6">
        <v>420000</v>
      </c>
      <c r="N58" s="6">
        <v>130000</v>
      </c>
      <c r="O58" s="1" t="s">
        <v>48</v>
      </c>
      <c r="P58" t="str">
        <f t="shared" si="0"/>
        <v>Aug</v>
      </c>
    </row>
    <row r="59" spans="1:16">
      <c r="A59" s="3">
        <v>46241</v>
      </c>
      <c r="B59" s="1" t="s">
        <v>214</v>
      </c>
      <c r="C59" s="1" t="s">
        <v>34</v>
      </c>
      <c r="D59" s="1" t="s">
        <v>215</v>
      </c>
      <c r="E59" s="1" t="s">
        <v>44</v>
      </c>
      <c r="F59" s="1" t="s">
        <v>141</v>
      </c>
      <c r="G59" s="1" t="s">
        <v>131</v>
      </c>
      <c r="H59" s="1" t="s">
        <v>47</v>
      </c>
      <c r="I59" s="1">
        <v>6</v>
      </c>
      <c r="J59" s="6">
        <v>45000</v>
      </c>
      <c r="K59" s="6">
        <v>32000</v>
      </c>
      <c r="L59" s="6">
        <v>270000</v>
      </c>
      <c r="M59" s="6">
        <v>192000</v>
      </c>
      <c r="N59" s="6">
        <v>78000</v>
      </c>
      <c r="O59" s="1" t="s">
        <v>40</v>
      </c>
      <c r="P59" t="str">
        <f t="shared" si="0"/>
        <v>Aug</v>
      </c>
    </row>
    <row r="60" spans="1:16">
      <c r="A60" s="3">
        <v>46086</v>
      </c>
      <c r="B60" s="1" t="s">
        <v>216</v>
      </c>
      <c r="C60" s="1" t="s">
        <v>217</v>
      </c>
      <c r="D60" s="1" t="s">
        <v>167</v>
      </c>
      <c r="E60" s="1" t="s">
        <v>36</v>
      </c>
      <c r="F60" s="1" t="s">
        <v>62</v>
      </c>
      <c r="G60" s="1" t="s">
        <v>70</v>
      </c>
      <c r="H60" s="1" t="s">
        <v>23</v>
      </c>
      <c r="I60" s="1">
        <v>1</v>
      </c>
      <c r="J60" s="6">
        <v>55000</v>
      </c>
      <c r="K60" s="6">
        <v>42000</v>
      </c>
      <c r="L60" s="6">
        <v>55000</v>
      </c>
      <c r="M60" s="6">
        <v>42000</v>
      </c>
      <c r="N60" s="6">
        <v>13000</v>
      </c>
      <c r="O60" s="1" t="s">
        <v>48</v>
      </c>
      <c r="P60" t="str">
        <f t="shared" si="0"/>
        <v>Mar</v>
      </c>
    </row>
    <row r="61" spans="1:16">
      <c r="A61" s="3" t="s">
        <v>96</v>
      </c>
      <c r="B61" s="1" t="s">
        <v>218</v>
      </c>
      <c r="C61" s="1" t="s">
        <v>67</v>
      </c>
      <c r="D61" s="1" t="s">
        <v>123</v>
      </c>
      <c r="E61" s="1" t="s">
        <v>20</v>
      </c>
      <c r="F61" s="1" t="s">
        <v>141</v>
      </c>
      <c r="G61" s="1" t="s">
        <v>75</v>
      </c>
      <c r="H61" s="1" t="s">
        <v>39</v>
      </c>
      <c r="I61" s="1">
        <v>10</v>
      </c>
      <c r="J61" s="6">
        <v>320000</v>
      </c>
      <c r="K61" s="6">
        <v>250000</v>
      </c>
      <c r="L61" s="6">
        <v>3200000</v>
      </c>
      <c r="M61" s="6">
        <v>2500000</v>
      </c>
      <c r="N61" s="6">
        <v>700000</v>
      </c>
      <c r="O61" s="1" t="s">
        <v>24</v>
      </c>
      <c r="P61" t="str">
        <f t="shared" si="0"/>
        <v>Feb</v>
      </c>
    </row>
    <row r="62" spans="1:16">
      <c r="A62" s="3">
        <v>46090</v>
      </c>
      <c r="B62" s="1" t="s">
        <v>219</v>
      </c>
      <c r="C62" s="1" t="s">
        <v>220</v>
      </c>
      <c r="D62" s="1" t="s">
        <v>86</v>
      </c>
      <c r="E62" s="1" t="s">
        <v>53</v>
      </c>
      <c r="F62" s="1" t="s">
        <v>21</v>
      </c>
      <c r="G62" s="1" t="s">
        <v>46</v>
      </c>
      <c r="H62" s="1" t="s">
        <v>47</v>
      </c>
      <c r="I62" s="1">
        <v>10</v>
      </c>
      <c r="J62" s="6">
        <v>65000</v>
      </c>
      <c r="K62" s="6">
        <v>50000</v>
      </c>
      <c r="L62" s="6">
        <v>650000</v>
      </c>
      <c r="M62" s="6">
        <v>500000</v>
      </c>
      <c r="N62" s="6">
        <v>150000</v>
      </c>
      <c r="O62" s="1" t="s">
        <v>48</v>
      </c>
      <c r="P62" t="str">
        <f t="shared" si="0"/>
        <v>Mar</v>
      </c>
    </row>
    <row r="63" spans="1:16">
      <c r="A63" s="3" t="s">
        <v>142</v>
      </c>
      <c r="B63" s="1" t="s">
        <v>221</v>
      </c>
      <c r="C63" s="1" t="s">
        <v>222</v>
      </c>
      <c r="D63" s="1" t="s">
        <v>223</v>
      </c>
      <c r="E63" s="1" t="s">
        <v>121</v>
      </c>
      <c r="F63" s="1" t="s">
        <v>45</v>
      </c>
      <c r="G63" s="1" t="s">
        <v>70</v>
      </c>
      <c r="H63" s="1" t="s">
        <v>23</v>
      </c>
      <c r="I63" s="1">
        <v>10</v>
      </c>
      <c r="J63" s="6">
        <v>55000</v>
      </c>
      <c r="K63" s="6">
        <v>42000</v>
      </c>
      <c r="L63" s="6">
        <v>550000</v>
      </c>
      <c r="M63" s="6">
        <v>420000</v>
      </c>
      <c r="N63" s="6">
        <v>130000</v>
      </c>
      <c r="O63" s="1" t="s">
        <v>48</v>
      </c>
      <c r="P63" t="str">
        <f t="shared" si="0"/>
        <v>Dec</v>
      </c>
    </row>
    <row r="64" spans="1:16">
      <c r="A64" s="3" t="s">
        <v>224</v>
      </c>
      <c r="B64" s="1" t="s">
        <v>225</v>
      </c>
      <c r="C64" s="1" t="s">
        <v>226</v>
      </c>
      <c r="D64" s="1" t="s">
        <v>52</v>
      </c>
      <c r="E64" s="1" t="s">
        <v>80</v>
      </c>
      <c r="F64" s="1" t="s">
        <v>135</v>
      </c>
      <c r="G64" s="1" t="s">
        <v>151</v>
      </c>
      <c r="H64" s="1" t="s">
        <v>47</v>
      </c>
      <c r="I64" s="1">
        <v>10</v>
      </c>
      <c r="J64" s="6">
        <v>28000</v>
      </c>
      <c r="K64" s="6">
        <v>21000</v>
      </c>
      <c r="L64" s="6">
        <v>280000</v>
      </c>
      <c r="M64" s="6">
        <v>210000</v>
      </c>
      <c r="N64" s="6">
        <v>70000</v>
      </c>
      <c r="O64" s="1" t="s">
        <v>40</v>
      </c>
      <c r="P64" t="str">
        <f t="shared" si="0"/>
        <v>Nov</v>
      </c>
    </row>
    <row r="65" spans="1:16">
      <c r="A65" s="3">
        <v>46239</v>
      </c>
      <c r="B65" s="1" t="s">
        <v>227</v>
      </c>
      <c r="C65" s="1" t="s">
        <v>42</v>
      </c>
      <c r="D65" s="1" t="s">
        <v>35</v>
      </c>
      <c r="E65" s="1" t="s">
        <v>121</v>
      </c>
      <c r="F65" s="1" t="s">
        <v>29</v>
      </c>
      <c r="G65" s="1" t="s">
        <v>46</v>
      </c>
      <c r="H65" s="1" t="s">
        <v>47</v>
      </c>
      <c r="I65" s="1">
        <v>14</v>
      </c>
      <c r="J65" s="6">
        <v>65000</v>
      </c>
      <c r="K65" s="6">
        <v>50000</v>
      </c>
      <c r="L65" s="6">
        <v>910000</v>
      </c>
      <c r="M65" s="6">
        <v>700000</v>
      </c>
      <c r="N65" s="6">
        <v>210000</v>
      </c>
      <c r="O65" s="1" t="s">
        <v>40</v>
      </c>
      <c r="P65" t="str">
        <f t="shared" si="0"/>
        <v>Aug</v>
      </c>
    </row>
    <row r="66" spans="1:16">
      <c r="A66" s="3" t="s">
        <v>228</v>
      </c>
      <c r="B66" s="1" t="s">
        <v>229</v>
      </c>
      <c r="C66" s="1" t="s">
        <v>133</v>
      </c>
      <c r="D66" s="1" t="s">
        <v>123</v>
      </c>
      <c r="E66" s="1" t="s">
        <v>44</v>
      </c>
      <c r="F66" s="1" t="s">
        <v>29</v>
      </c>
      <c r="G66" s="1" t="s">
        <v>118</v>
      </c>
      <c r="H66" s="1" t="s">
        <v>39</v>
      </c>
      <c r="I66" s="1">
        <v>9</v>
      </c>
      <c r="J66" s="6">
        <v>25000</v>
      </c>
      <c r="K66" s="6">
        <v>15000</v>
      </c>
      <c r="L66" s="6">
        <v>225000</v>
      </c>
      <c r="M66" s="6">
        <v>135000</v>
      </c>
      <c r="N66" s="6">
        <v>90000</v>
      </c>
      <c r="O66" s="1" t="s">
        <v>24</v>
      </c>
      <c r="P66" t="str">
        <f t="shared" si="0"/>
        <v>Jul</v>
      </c>
    </row>
    <row r="67" spans="1:16">
      <c r="A67" s="3">
        <v>46053</v>
      </c>
      <c r="B67" s="1" t="s">
        <v>230</v>
      </c>
      <c r="C67" s="1" t="s">
        <v>212</v>
      </c>
      <c r="D67" s="1" t="s">
        <v>171</v>
      </c>
      <c r="E67" s="1" t="s">
        <v>36</v>
      </c>
      <c r="F67" s="1" t="s">
        <v>81</v>
      </c>
      <c r="G67" s="1" t="s">
        <v>131</v>
      </c>
      <c r="H67" s="1" t="s">
        <v>47</v>
      </c>
      <c r="I67" s="1">
        <v>14</v>
      </c>
      <c r="J67" s="6">
        <v>45000</v>
      </c>
      <c r="K67" s="6">
        <v>32000</v>
      </c>
      <c r="L67" s="6">
        <v>630000</v>
      </c>
      <c r="M67" s="6">
        <v>448000</v>
      </c>
      <c r="N67" s="6">
        <v>182000</v>
      </c>
      <c r="O67" s="1" t="s">
        <v>48</v>
      </c>
      <c r="P67" t="str">
        <f t="shared" ref="P67:P130" si="1">TEXT(A67, "mmm")</f>
        <v>Jan</v>
      </c>
    </row>
    <row r="68" spans="1:16">
      <c r="A68" s="3">
        <v>46131</v>
      </c>
      <c r="B68" s="1" t="s">
        <v>231</v>
      </c>
      <c r="C68" s="1" t="s">
        <v>232</v>
      </c>
      <c r="D68" s="1" t="s">
        <v>233</v>
      </c>
      <c r="E68" s="1" t="s">
        <v>121</v>
      </c>
      <c r="F68" s="1" t="s">
        <v>100</v>
      </c>
      <c r="G68" s="1" t="s">
        <v>70</v>
      </c>
      <c r="H68" s="1" t="s">
        <v>23</v>
      </c>
      <c r="I68" s="1">
        <v>14</v>
      </c>
      <c r="J68" s="6">
        <v>55000</v>
      </c>
      <c r="K68" s="6">
        <v>42000</v>
      </c>
      <c r="L68" s="6">
        <v>770000</v>
      </c>
      <c r="M68" s="6">
        <v>588000</v>
      </c>
      <c r="N68" s="6">
        <v>182000</v>
      </c>
      <c r="O68" s="1" t="s">
        <v>40</v>
      </c>
      <c r="P68" t="str">
        <f t="shared" si="1"/>
        <v>Apr</v>
      </c>
    </row>
    <row r="69" spans="1:16">
      <c r="A69" s="3">
        <v>46233</v>
      </c>
      <c r="B69" s="1" t="s">
        <v>234</v>
      </c>
      <c r="C69" s="1" t="s">
        <v>112</v>
      </c>
      <c r="D69" s="1" t="s">
        <v>235</v>
      </c>
      <c r="E69" s="1" t="s">
        <v>20</v>
      </c>
      <c r="F69" s="1" t="s">
        <v>95</v>
      </c>
      <c r="G69" s="1" t="s">
        <v>151</v>
      </c>
      <c r="H69" s="1" t="s">
        <v>47</v>
      </c>
      <c r="I69" s="1">
        <v>1</v>
      </c>
      <c r="J69" s="6">
        <v>28000</v>
      </c>
      <c r="K69" s="6">
        <v>21000</v>
      </c>
      <c r="L69" s="6">
        <v>28000</v>
      </c>
      <c r="M69" s="6">
        <v>21000</v>
      </c>
      <c r="N69" s="6">
        <v>7000</v>
      </c>
      <c r="O69" s="1" t="s">
        <v>40</v>
      </c>
      <c r="P69" t="str">
        <f t="shared" si="1"/>
        <v>Jul</v>
      </c>
    </row>
    <row r="70" spans="1:16">
      <c r="A70" s="3">
        <v>46202</v>
      </c>
      <c r="B70" s="1" t="s">
        <v>236</v>
      </c>
      <c r="C70" s="1" t="s">
        <v>220</v>
      </c>
      <c r="D70" s="1" t="s">
        <v>104</v>
      </c>
      <c r="E70" s="1" t="s">
        <v>210</v>
      </c>
      <c r="F70" s="1" t="s">
        <v>95</v>
      </c>
      <c r="G70" s="1" t="s">
        <v>175</v>
      </c>
      <c r="H70" s="1" t="s">
        <v>31</v>
      </c>
      <c r="I70" s="1">
        <v>13</v>
      </c>
      <c r="J70" s="6">
        <v>25000</v>
      </c>
      <c r="K70" s="6">
        <v>18000</v>
      </c>
      <c r="L70" s="6">
        <v>325000</v>
      </c>
      <c r="M70" s="6">
        <v>234000</v>
      </c>
      <c r="N70" s="6">
        <v>91000</v>
      </c>
      <c r="O70" s="1" t="s">
        <v>48</v>
      </c>
      <c r="P70" t="str">
        <f t="shared" si="1"/>
        <v>Jun</v>
      </c>
    </row>
    <row r="71" spans="1:16">
      <c r="A71" s="3">
        <v>46140</v>
      </c>
      <c r="B71" s="1" t="s">
        <v>237</v>
      </c>
      <c r="C71" s="1" t="s">
        <v>238</v>
      </c>
      <c r="D71" s="1" t="s">
        <v>239</v>
      </c>
      <c r="E71" s="1" t="s">
        <v>44</v>
      </c>
      <c r="F71" s="1" t="s">
        <v>45</v>
      </c>
      <c r="G71" s="1" t="s">
        <v>131</v>
      </c>
      <c r="H71" s="1" t="s">
        <v>47</v>
      </c>
      <c r="I71" s="1">
        <v>12</v>
      </c>
      <c r="J71" s="6">
        <v>45000</v>
      </c>
      <c r="K71" s="6">
        <v>32000</v>
      </c>
      <c r="L71" s="6">
        <v>540000</v>
      </c>
      <c r="M71" s="6">
        <v>384000</v>
      </c>
      <c r="N71" s="6">
        <v>156000</v>
      </c>
      <c r="O71" s="1" t="s">
        <v>40</v>
      </c>
      <c r="P71" t="str">
        <f t="shared" si="1"/>
        <v>Apr</v>
      </c>
    </row>
    <row r="72" spans="1:16">
      <c r="A72" s="3">
        <v>46278</v>
      </c>
      <c r="B72" s="1" t="s">
        <v>240</v>
      </c>
      <c r="C72" s="1" t="s">
        <v>133</v>
      </c>
      <c r="D72" s="1" t="s">
        <v>233</v>
      </c>
      <c r="E72" s="1" t="s">
        <v>53</v>
      </c>
      <c r="F72" s="1" t="s">
        <v>21</v>
      </c>
      <c r="G72" s="1" t="s">
        <v>38</v>
      </c>
      <c r="H72" s="1" t="s">
        <v>39</v>
      </c>
      <c r="I72" s="1">
        <v>2</v>
      </c>
      <c r="J72" s="6">
        <v>180000</v>
      </c>
      <c r="K72" s="6">
        <v>140000</v>
      </c>
      <c r="L72" s="6">
        <v>360000</v>
      </c>
      <c r="M72" s="6">
        <v>280000</v>
      </c>
      <c r="N72" s="6">
        <v>80000</v>
      </c>
      <c r="O72" s="1" t="s">
        <v>24</v>
      </c>
      <c r="P72" t="str">
        <f t="shared" si="1"/>
        <v>Sep</v>
      </c>
    </row>
    <row r="73" spans="1:16">
      <c r="A73" s="3" t="s">
        <v>241</v>
      </c>
      <c r="B73" s="1" t="s">
        <v>242</v>
      </c>
      <c r="C73" s="1" t="s">
        <v>78</v>
      </c>
      <c r="D73" s="1" t="s">
        <v>243</v>
      </c>
      <c r="E73" s="1" t="s">
        <v>20</v>
      </c>
      <c r="F73" s="1" t="s">
        <v>141</v>
      </c>
      <c r="G73" s="1" t="s">
        <v>46</v>
      </c>
      <c r="H73" s="1" t="s">
        <v>47</v>
      </c>
      <c r="I73" s="1">
        <v>14</v>
      </c>
      <c r="J73" s="6">
        <v>65000</v>
      </c>
      <c r="K73" s="6">
        <v>50000</v>
      </c>
      <c r="L73" s="6">
        <v>910000</v>
      </c>
      <c r="M73" s="6">
        <v>700000</v>
      </c>
      <c r="N73" s="6">
        <v>210000</v>
      </c>
      <c r="O73" s="1" t="s">
        <v>48</v>
      </c>
      <c r="P73" t="str">
        <f t="shared" si="1"/>
        <v>Mar</v>
      </c>
    </row>
    <row r="74" spans="1:16">
      <c r="A74" s="3">
        <v>46241</v>
      </c>
      <c r="B74" s="1" t="s">
        <v>244</v>
      </c>
      <c r="C74" s="1" t="s">
        <v>163</v>
      </c>
      <c r="D74" s="1" t="s">
        <v>245</v>
      </c>
      <c r="E74" s="1" t="s">
        <v>20</v>
      </c>
      <c r="F74" s="1" t="s">
        <v>21</v>
      </c>
      <c r="G74" s="1" t="s">
        <v>22</v>
      </c>
      <c r="H74" s="1" t="s">
        <v>23</v>
      </c>
      <c r="I74" s="1">
        <v>9</v>
      </c>
      <c r="J74" s="6">
        <v>18000</v>
      </c>
      <c r="K74" s="6">
        <v>12000</v>
      </c>
      <c r="L74" s="6">
        <v>162000</v>
      </c>
      <c r="M74" s="6">
        <v>108000</v>
      </c>
      <c r="N74" s="6">
        <v>54000</v>
      </c>
      <c r="O74" s="1" t="s">
        <v>40</v>
      </c>
      <c r="P74" t="str">
        <f t="shared" si="1"/>
        <v>Aug</v>
      </c>
    </row>
    <row r="75" spans="1:16">
      <c r="A75" s="3">
        <v>46101</v>
      </c>
      <c r="B75" s="1" t="s">
        <v>246</v>
      </c>
      <c r="C75" s="1" t="s">
        <v>247</v>
      </c>
      <c r="D75" s="1" t="s">
        <v>52</v>
      </c>
      <c r="E75" s="1" t="s">
        <v>20</v>
      </c>
      <c r="F75" s="1" t="s">
        <v>69</v>
      </c>
      <c r="G75" s="1" t="s">
        <v>131</v>
      </c>
      <c r="H75" s="1" t="s">
        <v>47</v>
      </c>
      <c r="I75" s="1">
        <v>8</v>
      </c>
      <c r="J75" s="6">
        <v>45000</v>
      </c>
      <c r="K75" s="6">
        <v>32000</v>
      </c>
      <c r="L75" s="6">
        <v>360000</v>
      </c>
      <c r="M75" s="6">
        <v>256000</v>
      </c>
      <c r="N75" s="6">
        <v>104000</v>
      </c>
      <c r="O75" s="1" t="s">
        <v>40</v>
      </c>
      <c r="P75" t="str">
        <f t="shared" si="1"/>
        <v>Mar</v>
      </c>
    </row>
    <row r="76" spans="1:16">
      <c r="A76" s="3" t="s">
        <v>157</v>
      </c>
      <c r="B76" s="1" t="s">
        <v>248</v>
      </c>
      <c r="C76" s="1" t="s">
        <v>144</v>
      </c>
      <c r="D76" s="1" t="s">
        <v>94</v>
      </c>
      <c r="E76" s="1" t="s">
        <v>36</v>
      </c>
      <c r="F76" s="1" t="s">
        <v>62</v>
      </c>
      <c r="G76" s="1" t="s">
        <v>30</v>
      </c>
      <c r="H76" s="1" t="s">
        <v>31</v>
      </c>
      <c r="I76" s="1">
        <v>10</v>
      </c>
      <c r="J76" s="6">
        <v>12000</v>
      </c>
      <c r="K76" s="6">
        <v>7000</v>
      </c>
      <c r="L76" s="6">
        <v>120000</v>
      </c>
      <c r="M76" s="6">
        <v>70000</v>
      </c>
      <c r="N76" s="6">
        <v>50000</v>
      </c>
      <c r="O76" s="1" t="s">
        <v>24</v>
      </c>
      <c r="P76" t="str">
        <f t="shared" si="1"/>
        <v>Aug</v>
      </c>
    </row>
    <row r="77" spans="1:16">
      <c r="A77" s="3" t="s">
        <v>49</v>
      </c>
      <c r="B77" s="1" t="s">
        <v>249</v>
      </c>
      <c r="C77" s="1" t="s">
        <v>185</v>
      </c>
      <c r="D77" s="1" t="s">
        <v>250</v>
      </c>
      <c r="E77" s="1" t="s">
        <v>80</v>
      </c>
      <c r="F77" s="1" t="s">
        <v>105</v>
      </c>
      <c r="G77" s="1" t="s">
        <v>101</v>
      </c>
      <c r="H77" s="1" t="s">
        <v>23</v>
      </c>
      <c r="I77" s="1">
        <v>13</v>
      </c>
      <c r="J77" s="6">
        <v>14000</v>
      </c>
      <c r="K77" s="6">
        <v>9500</v>
      </c>
      <c r="L77" s="6">
        <v>182000</v>
      </c>
      <c r="M77" s="6">
        <v>123500</v>
      </c>
      <c r="N77" s="6">
        <v>58500</v>
      </c>
      <c r="O77" s="1" t="s">
        <v>24</v>
      </c>
      <c r="P77" t="str">
        <f t="shared" si="1"/>
        <v>Aug</v>
      </c>
    </row>
    <row r="78" spans="1:16">
      <c r="A78" s="3">
        <v>46182</v>
      </c>
      <c r="B78" s="1" t="s">
        <v>251</v>
      </c>
      <c r="C78" s="1" t="s">
        <v>120</v>
      </c>
      <c r="D78" s="1" t="s">
        <v>252</v>
      </c>
      <c r="E78" s="1" t="s">
        <v>80</v>
      </c>
      <c r="F78" s="1" t="s">
        <v>37</v>
      </c>
      <c r="G78" s="1" t="s">
        <v>151</v>
      </c>
      <c r="H78" s="1" t="s">
        <v>47</v>
      </c>
      <c r="I78" s="1">
        <v>7</v>
      </c>
      <c r="J78" s="6">
        <v>28000</v>
      </c>
      <c r="K78" s="6">
        <v>21000</v>
      </c>
      <c r="L78" s="6">
        <v>196000</v>
      </c>
      <c r="M78" s="6">
        <v>147000</v>
      </c>
      <c r="N78" s="6">
        <v>49000</v>
      </c>
      <c r="O78" s="1" t="s">
        <v>24</v>
      </c>
      <c r="P78" t="str">
        <f t="shared" si="1"/>
        <v>Jun</v>
      </c>
    </row>
    <row r="79" spans="1:16">
      <c r="A79" s="3">
        <v>46099</v>
      </c>
      <c r="B79" s="1" t="s">
        <v>253</v>
      </c>
      <c r="C79" s="1" t="s">
        <v>116</v>
      </c>
      <c r="D79" s="1" t="s">
        <v>250</v>
      </c>
      <c r="E79" s="1" t="s">
        <v>20</v>
      </c>
      <c r="F79" s="1" t="s">
        <v>100</v>
      </c>
      <c r="G79" s="1" t="s">
        <v>151</v>
      </c>
      <c r="H79" s="1" t="s">
        <v>47</v>
      </c>
      <c r="I79" s="1">
        <v>2</v>
      </c>
      <c r="J79" s="6">
        <v>28000</v>
      </c>
      <c r="K79" s="6">
        <v>21000</v>
      </c>
      <c r="L79" s="6">
        <v>56000</v>
      </c>
      <c r="M79" s="6">
        <v>42000</v>
      </c>
      <c r="N79" s="6">
        <v>14000</v>
      </c>
      <c r="O79" s="1" t="s">
        <v>48</v>
      </c>
      <c r="P79" t="str">
        <f t="shared" si="1"/>
        <v>Mar</v>
      </c>
    </row>
    <row r="80" spans="1:16">
      <c r="A80" s="3">
        <v>46290</v>
      </c>
      <c r="B80" s="1" t="s">
        <v>254</v>
      </c>
      <c r="C80" s="1" t="s">
        <v>222</v>
      </c>
      <c r="D80" s="1" t="s">
        <v>239</v>
      </c>
      <c r="E80" s="1" t="s">
        <v>53</v>
      </c>
      <c r="F80" s="1" t="s">
        <v>141</v>
      </c>
      <c r="G80" s="1" t="s">
        <v>175</v>
      </c>
      <c r="H80" s="1" t="s">
        <v>31</v>
      </c>
      <c r="I80" s="1">
        <v>1</v>
      </c>
      <c r="J80" s="6">
        <v>25000</v>
      </c>
      <c r="K80" s="6">
        <v>18000</v>
      </c>
      <c r="L80" s="6">
        <v>25000</v>
      </c>
      <c r="M80" s="6">
        <v>18000</v>
      </c>
      <c r="N80" s="6">
        <v>7000</v>
      </c>
      <c r="O80" s="1" t="s">
        <v>40</v>
      </c>
      <c r="P80" t="str">
        <f t="shared" si="1"/>
        <v>Sep</v>
      </c>
    </row>
    <row r="81" spans="1:16">
      <c r="A81" s="3" t="s">
        <v>157</v>
      </c>
      <c r="B81" s="1" t="s">
        <v>255</v>
      </c>
      <c r="C81" s="1" t="s">
        <v>222</v>
      </c>
      <c r="D81" s="1" t="s">
        <v>65</v>
      </c>
      <c r="E81" s="1" t="s">
        <v>53</v>
      </c>
      <c r="F81" s="1" t="s">
        <v>168</v>
      </c>
      <c r="G81" s="1" t="s">
        <v>38</v>
      </c>
      <c r="H81" s="1" t="s">
        <v>39</v>
      </c>
      <c r="I81" s="1">
        <v>2</v>
      </c>
      <c r="J81" s="6">
        <v>180000</v>
      </c>
      <c r="K81" s="6">
        <v>140000</v>
      </c>
      <c r="L81" s="6">
        <v>360000</v>
      </c>
      <c r="M81" s="6">
        <v>280000</v>
      </c>
      <c r="N81" s="6">
        <v>80000</v>
      </c>
      <c r="O81" s="1" t="s">
        <v>48</v>
      </c>
      <c r="P81" t="str">
        <f t="shared" si="1"/>
        <v>Aug</v>
      </c>
    </row>
    <row r="82" spans="1:16">
      <c r="A82" s="3">
        <v>46291</v>
      </c>
      <c r="B82" s="1" t="s">
        <v>256</v>
      </c>
      <c r="C82" s="1" t="s">
        <v>144</v>
      </c>
      <c r="D82" s="1" t="s">
        <v>73</v>
      </c>
      <c r="E82" s="1" t="s">
        <v>44</v>
      </c>
      <c r="F82" s="1" t="s">
        <v>141</v>
      </c>
      <c r="G82" s="1" t="s">
        <v>151</v>
      </c>
      <c r="H82" s="1" t="s">
        <v>47</v>
      </c>
      <c r="I82" s="1">
        <v>12</v>
      </c>
      <c r="J82" s="6">
        <v>28000</v>
      </c>
      <c r="K82" s="6">
        <v>21000</v>
      </c>
      <c r="L82" s="6">
        <v>336000</v>
      </c>
      <c r="M82" s="6">
        <v>252000</v>
      </c>
      <c r="N82" s="6">
        <v>84000</v>
      </c>
      <c r="O82" s="1" t="s">
        <v>24</v>
      </c>
      <c r="P82" t="str">
        <f t="shared" si="1"/>
        <v>Sep</v>
      </c>
    </row>
    <row r="83" spans="1:16">
      <c r="A83" s="3">
        <v>2026</v>
      </c>
      <c r="B83" s="1" t="s">
        <v>257</v>
      </c>
      <c r="C83" s="1" t="s">
        <v>258</v>
      </c>
      <c r="D83" s="1" t="s">
        <v>239</v>
      </c>
      <c r="E83" s="1" t="s">
        <v>121</v>
      </c>
      <c r="F83" s="1" t="s">
        <v>21</v>
      </c>
      <c r="G83" s="1" t="s">
        <v>175</v>
      </c>
      <c r="H83" s="1" t="s">
        <v>31</v>
      </c>
      <c r="I83" s="1">
        <v>2</v>
      </c>
      <c r="J83" s="6">
        <v>25000</v>
      </c>
      <c r="K83" s="6">
        <v>18000</v>
      </c>
      <c r="L83" s="6">
        <v>50000</v>
      </c>
      <c r="M83" s="6">
        <v>36000</v>
      </c>
      <c r="N83" s="6">
        <v>14000</v>
      </c>
      <c r="O83" s="1" t="s">
        <v>48</v>
      </c>
      <c r="P83" t="str">
        <f t="shared" si="1"/>
        <v>Jul</v>
      </c>
    </row>
    <row r="84" spans="1:16">
      <c r="A84" s="3">
        <v>46336</v>
      </c>
      <c r="B84" s="1" t="s">
        <v>259</v>
      </c>
      <c r="C84" s="1" t="s">
        <v>155</v>
      </c>
      <c r="D84" s="1" t="s">
        <v>233</v>
      </c>
      <c r="E84" s="1" t="s">
        <v>36</v>
      </c>
      <c r="F84" s="1" t="s">
        <v>168</v>
      </c>
      <c r="G84" s="1" t="s">
        <v>101</v>
      </c>
      <c r="H84" s="1" t="s">
        <v>23</v>
      </c>
      <c r="I84" s="1">
        <v>14</v>
      </c>
      <c r="J84" s="6">
        <v>14000</v>
      </c>
      <c r="K84" s="6">
        <v>9500</v>
      </c>
      <c r="L84" s="6">
        <v>196000</v>
      </c>
      <c r="M84" s="6">
        <v>133000</v>
      </c>
      <c r="N84" s="6">
        <v>63000</v>
      </c>
      <c r="O84" s="1" t="s">
        <v>24</v>
      </c>
      <c r="P84" t="str">
        <f t="shared" si="1"/>
        <v>Nov</v>
      </c>
    </row>
    <row r="85" spans="1:16">
      <c r="A85" s="3" t="s">
        <v>260</v>
      </c>
      <c r="B85" s="1" t="s">
        <v>261</v>
      </c>
      <c r="C85" s="1" t="s">
        <v>64</v>
      </c>
      <c r="D85" s="1" t="s">
        <v>86</v>
      </c>
      <c r="E85" s="1" t="s">
        <v>36</v>
      </c>
      <c r="F85" s="1" t="s">
        <v>168</v>
      </c>
      <c r="G85" s="1" t="s">
        <v>82</v>
      </c>
      <c r="H85" s="1" t="s">
        <v>31</v>
      </c>
      <c r="I85" s="1">
        <v>14</v>
      </c>
      <c r="J85" s="6">
        <v>6000</v>
      </c>
      <c r="K85" s="6">
        <v>3500</v>
      </c>
      <c r="L85" s="6">
        <v>84000</v>
      </c>
      <c r="M85" s="6">
        <v>49000</v>
      </c>
      <c r="N85" s="6">
        <v>35000</v>
      </c>
      <c r="O85" s="1" t="s">
        <v>40</v>
      </c>
      <c r="P85" t="str">
        <f t="shared" si="1"/>
        <v>Jan</v>
      </c>
    </row>
    <row r="86" spans="1:16">
      <c r="A86" s="3">
        <v>46377</v>
      </c>
      <c r="B86" s="1" t="s">
        <v>262</v>
      </c>
      <c r="C86" s="1" t="s">
        <v>263</v>
      </c>
      <c r="D86" s="1" t="s">
        <v>145</v>
      </c>
      <c r="E86" s="1" t="s">
        <v>53</v>
      </c>
      <c r="F86" s="1" t="s">
        <v>110</v>
      </c>
      <c r="G86" s="1" t="s">
        <v>131</v>
      </c>
      <c r="H86" s="1" t="s">
        <v>47</v>
      </c>
      <c r="I86" s="1">
        <v>12</v>
      </c>
      <c r="J86" s="6">
        <v>45000</v>
      </c>
      <c r="K86" s="6">
        <v>32000</v>
      </c>
      <c r="L86" s="6">
        <v>540000</v>
      </c>
      <c r="M86" s="6">
        <v>384000</v>
      </c>
      <c r="N86" s="6">
        <v>156000</v>
      </c>
      <c r="O86" s="1" t="s">
        <v>24</v>
      </c>
      <c r="P86" t="str">
        <f t="shared" si="1"/>
        <v>Dec</v>
      </c>
    </row>
    <row r="87" spans="1:16">
      <c r="A87" s="3" t="s">
        <v>264</v>
      </c>
      <c r="B87" s="1" t="s">
        <v>265</v>
      </c>
      <c r="C87" s="1" t="s">
        <v>18</v>
      </c>
      <c r="D87" s="1" t="s">
        <v>123</v>
      </c>
      <c r="E87" s="1" t="s">
        <v>121</v>
      </c>
      <c r="F87" s="1" t="s">
        <v>29</v>
      </c>
      <c r="G87" s="1" t="s">
        <v>131</v>
      </c>
      <c r="H87" s="1" t="s">
        <v>47</v>
      </c>
      <c r="I87" s="1">
        <v>6</v>
      </c>
      <c r="J87" s="6">
        <v>45000</v>
      </c>
      <c r="K87" s="6">
        <v>32000</v>
      </c>
      <c r="L87" s="6">
        <v>270000</v>
      </c>
      <c r="M87" s="6">
        <v>192000</v>
      </c>
      <c r="N87" s="6">
        <v>78000</v>
      </c>
      <c r="O87" s="1" t="s">
        <v>48</v>
      </c>
      <c r="P87" t="str">
        <f t="shared" si="1"/>
        <v>Dec</v>
      </c>
    </row>
    <row r="88" spans="1:16">
      <c r="A88" s="3" t="s">
        <v>266</v>
      </c>
      <c r="B88" s="1" t="s">
        <v>267</v>
      </c>
      <c r="C88" s="1" t="s">
        <v>268</v>
      </c>
      <c r="D88" s="1" t="s">
        <v>79</v>
      </c>
      <c r="E88" s="1" t="s">
        <v>121</v>
      </c>
      <c r="F88" s="1" t="s">
        <v>114</v>
      </c>
      <c r="G88" s="1" t="s">
        <v>22</v>
      </c>
      <c r="H88" s="1" t="s">
        <v>23</v>
      </c>
      <c r="I88" s="1">
        <v>9</v>
      </c>
      <c r="J88" s="6">
        <v>18000</v>
      </c>
      <c r="K88" s="6">
        <v>12000</v>
      </c>
      <c r="L88" s="6">
        <v>162000</v>
      </c>
      <c r="M88" s="6">
        <v>108000</v>
      </c>
      <c r="N88" s="6">
        <v>54000</v>
      </c>
      <c r="O88" s="1" t="s">
        <v>48</v>
      </c>
      <c r="P88" t="str">
        <f t="shared" si="1"/>
        <v>Oct</v>
      </c>
    </row>
    <row r="89" spans="1:16">
      <c r="A89" s="3" t="s">
        <v>269</v>
      </c>
      <c r="B89" s="1" t="s">
        <v>270</v>
      </c>
      <c r="C89" s="1" t="s">
        <v>137</v>
      </c>
      <c r="D89" s="1" t="s">
        <v>58</v>
      </c>
      <c r="E89" s="1" t="s">
        <v>121</v>
      </c>
      <c r="F89" s="1" t="s">
        <v>87</v>
      </c>
      <c r="G89" s="1" t="s">
        <v>38</v>
      </c>
      <c r="H89" s="1" t="s">
        <v>39</v>
      </c>
      <c r="I89" s="1">
        <v>8</v>
      </c>
      <c r="J89" s="6">
        <v>180000</v>
      </c>
      <c r="K89" s="6">
        <v>140000</v>
      </c>
      <c r="L89" s="6">
        <v>1440000</v>
      </c>
      <c r="M89" s="6">
        <v>1120000</v>
      </c>
      <c r="N89" s="6">
        <v>320000</v>
      </c>
      <c r="O89" s="1" t="s">
        <v>40</v>
      </c>
      <c r="P89" t="str">
        <f t="shared" si="1"/>
        <v>Jan</v>
      </c>
    </row>
    <row r="90" spans="1:16">
      <c r="A90" s="3">
        <v>46278</v>
      </c>
      <c r="B90" s="1" t="s">
        <v>271</v>
      </c>
      <c r="C90" s="1" t="s">
        <v>150</v>
      </c>
      <c r="D90" s="1" t="s">
        <v>68</v>
      </c>
      <c r="E90" s="1" t="s">
        <v>36</v>
      </c>
      <c r="F90" s="1" t="s">
        <v>87</v>
      </c>
      <c r="G90" s="1" t="s">
        <v>101</v>
      </c>
      <c r="H90" s="1" t="s">
        <v>23</v>
      </c>
      <c r="I90" s="1">
        <v>7</v>
      </c>
      <c r="J90" s="6">
        <v>14000</v>
      </c>
      <c r="K90" s="6">
        <v>9500</v>
      </c>
      <c r="L90" s="6">
        <v>98000</v>
      </c>
      <c r="M90" s="6">
        <v>66500</v>
      </c>
      <c r="N90" s="6">
        <v>31500</v>
      </c>
      <c r="O90" s="1" t="s">
        <v>48</v>
      </c>
      <c r="P90" t="str">
        <f t="shared" si="1"/>
        <v>Sep</v>
      </c>
    </row>
    <row r="91" spans="1:16">
      <c r="A91" s="3" t="s">
        <v>272</v>
      </c>
      <c r="B91" s="1" t="s">
        <v>273</v>
      </c>
      <c r="C91" s="1" t="s">
        <v>127</v>
      </c>
      <c r="D91" s="1" t="s">
        <v>117</v>
      </c>
      <c r="E91" s="1" t="s">
        <v>121</v>
      </c>
      <c r="F91" s="1" t="s">
        <v>100</v>
      </c>
      <c r="G91" s="1" t="s">
        <v>131</v>
      </c>
      <c r="H91" s="1" t="s">
        <v>47</v>
      </c>
      <c r="I91" s="1">
        <v>14</v>
      </c>
      <c r="J91" s="6">
        <v>45000</v>
      </c>
      <c r="K91" s="6">
        <v>32000</v>
      </c>
      <c r="L91" s="6">
        <v>630000</v>
      </c>
      <c r="M91" s="6">
        <v>448000</v>
      </c>
      <c r="N91" s="6">
        <v>182000</v>
      </c>
      <c r="O91" s="1" t="s">
        <v>48</v>
      </c>
      <c r="P91" t="str">
        <f t="shared" si="1"/>
        <v>Apr</v>
      </c>
    </row>
    <row r="92" spans="1:16">
      <c r="A92" s="3">
        <v>46273</v>
      </c>
      <c r="B92" s="1" t="s">
        <v>274</v>
      </c>
      <c r="C92" s="1" t="s">
        <v>275</v>
      </c>
      <c r="D92" s="1" t="s">
        <v>109</v>
      </c>
      <c r="E92" s="1" t="s">
        <v>121</v>
      </c>
      <c r="F92" s="1" t="s">
        <v>87</v>
      </c>
      <c r="G92" s="1" t="s">
        <v>75</v>
      </c>
      <c r="H92" s="1" t="s">
        <v>39</v>
      </c>
      <c r="I92" s="1">
        <v>5</v>
      </c>
      <c r="J92" s="6">
        <v>320000</v>
      </c>
      <c r="K92" s="6">
        <v>250000</v>
      </c>
      <c r="L92" s="6">
        <v>1600000</v>
      </c>
      <c r="M92" s="6">
        <v>1250000</v>
      </c>
      <c r="N92" s="6">
        <v>350000</v>
      </c>
      <c r="O92" s="1" t="s">
        <v>24</v>
      </c>
      <c r="P92" t="str">
        <f t="shared" si="1"/>
        <v>Sep</v>
      </c>
    </row>
    <row r="93" spans="1:16">
      <c r="A93" s="3" t="s">
        <v>157</v>
      </c>
      <c r="B93" s="1" t="s">
        <v>276</v>
      </c>
      <c r="C93" s="1" t="s">
        <v>178</v>
      </c>
      <c r="D93" s="1" t="s">
        <v>174</v>
      </c>
      <c r="E93" s="1" t="s">
        <v>121</v>
      </c>
      <c r="F93" s="1" t="s">
        <v>114</v>
      </c>
      <c r="G93" s="1" t="s">
        <v>151</v>
      </c>
      <c r="H93" s="1" t="s">
        <v>47</v>
      </c>
      <c r="I93" s="1">
        <v>10</v>
      </c>
      <c r="J93" s="6">
        <v>28000</v>
      </c>
      <c r="K93" s="6">
        <v>21000</v>
      </c>
      <c r="L93" s="6">
        <v>280000</v>
      </c>
      <c r="M93" s="6">
        <v>210000</v>
      </c>
      <c r="N93" s="6">
        <v>70000</v>
      </c>
      <c r="O93" s="1" t="s">
        <v>40</v>
      </c>
      <c r="P93" t="str">
        <f t="shared" si="1"/>
        <v>Aug</v>
      </c>
    </row>
    <row r="94" spans="1:16">
      <c r="A94" s="3">
        <v>46229</v>
      </c>
      <c r="B94" s="1" t="s">
        <v>277</v>
      </c>
      <c r="C94" s="1" t="s">
        <v>278</v>
      </c>
      <c r="D94" s="1" t="s">
        <v>279</v>
      </c>
      <c r="E94" s="1" t="s">
        <v>20</v>
      </c>
      <c r="F94" s="1" t="s">
        <v>54</v>
      </c>
      <c r="G94" s="1" t="s">
        <v>175</v>
      </c>
      <c r="H94" s="1" t="s">
        <v>31</v>
      </c>
      <c r="I94" s="1">
        <v>15</v>
      </c>
      <c r="J94" s="6">
        <v>25000</v>
      </c>
      <c r="K94" s="6">
        <v>18000</v>
      </c>
      <c r="L94" s="6">
        <v>375000</v>
      </c>
      <c r="M94" s="6">
        <v>270000</v>
      </c>
      <c r="N94" s="6">
        <v>105000</v>
      </c>
      <c r="O94" s="1" t="s">
        <v>40</v>
      </c>
      <c r="P94" t="str">
        <f t="shared" si="1"/>
        <v>Jul</v>
      </c>
    </row>
    <row r="95" spans="1:16">
      <c r="A95" s="3" t="s">
        <v>280</v>
      </c>
      <c r="B95" s="1" t="s">
        <v>281</v>
      </c>
      <c r="C95" s="1" t="s">
        <v>150</v>
      </c>
      <c r="D95" s="1" t="s">
        <v>68</v>
      </c>
      <c r="E95" s="1" t="s">
        <v>121</v>
      </c>
      <c r="F95" s="1" t="s">
        <v>54</v>
      </c>
      <c r="G95" s="1" t="s">
        <v>151</v>
      </c>
      <c r="H95" s="1" t="s">
        <v>47</v>
      </c>
      <c r="I95" s="1">
        <v>8</v>
      </c>
      <c r="J95" s="6">
        <v>28000</v>
      </c>
      <c r="K95" s="6">
        <v>21000</v>
      </c>
      <c r="L95" s="6">
        <v>224000</v>
      </c>
      <c r="M95" s="6">
        <v>168000</v>
      </c>
      <c r="N95" s="6">
        <v>56000</v>
      </c>
      <c r="O95" s="1" t="s">
        <v>24</v>
      </c>
      <c r="P95" t="str">
        <f t="shared" si="1"/>
        <v>Sep</v>
      </c>
    </row>
    <row r="96" spans="1:16">
      <c r="A96" s="3">
        <v>46379</v>
      </c>
      <c r="B96" s="1" t="s">
        <v>282</v>
      </c>
      <c r="C96" s="1" t="s">
        <v>125</v>
      </c>
      <c r="D96" s="1" t="s">
        <v>283</v>
      </c>
      <c r="E96" s="1" t="s">
        <v>36</v>
      </c>
      <c r="F96" s="1" t="s">
        <v>29</v>
      </c>
      <c r="G96" s="1" t="s">
        <v>118</v>
      </c>
      <c r="H96" s="1" t="s">
        <v>39</v>
      </c>
      <c r="I96" s="1">
        <v>10</v>
      </c>
      <c r="J96" s="6">
        <v>25000</v>
      </c>
      <c r="K96" s="6">
        <v>15000</v>
      </c>
      <c r="L96" s="6">
        <v>250000</v>
      </c>
      <c r="M96" s="6">
        <v>150000</v>
      </c>
      <c r="N96" s="6">
        <v>100000</v>
      </c>
      <c r="O96" s="1" t="s">
        <v>40</v>
      </c>
      <c r="P96" t="str">
        <f t="shared" si="1"/>
        <v>Dec</v>
      </c>
    </row>
    <row r="97" spans="1:16">
      <c r="A97" s="3">
        <v>46305</v>
      </c>
      <c r="B97" s="1" t="s">
        <v>284</v>
      </c>
      <c r="C97" s="1" t="s">
        <v>93</v>
      </c>
      <c r="D97" s="1" t="s">
        <v>174</v>
      </c>
      <c r="E97" s="1" t="s">
        <v>44</v>
      </c>
      <c r="F97" s="1" t="s">
        <v>114</v>
      </c>
      <c r="G97" s="1" t="s">
        <v>75</v>
      </c>
      <c r="H97" s="1" t="s">
        <v>39</v>
      </c>
      <c r="I97" s="1">
        <v>8</v>
      </c>
      <c r="J97" s="6">
        <v>320000</v>
      </c>
      <c r="K97" s="6">
        <v>250000</v>
      </c>
      <c r="L97" s="6">
        <v>2560000</v>
      </c>
      <c r="M97" s="6">
        <v>2000000</v>
      </c>
      <c r="N97" s="6">
        <v>560000</v>
      </c>
      <c r="O97" s="1" t="s">
        <v>40</v>
      </c>
      <c r="P97" t="str">
        <f t="shared" si="1"/>
        <v>Oct</v>
      </c>
    </row>
    <row r="98" spans="1:16">
      <c r="A98" s="3">
        <v>46380</v>
      </c>
      <c r="B98" s="1" t="s">
        <v>285</v>
      </c>
      <c r="C98" s="1" t="s">
        <v>286</v>
      </c>
      <c r="D98" s="1" t="s">
        <v>235</v>
      </c>
      <c r="E98" s="1" t="s">
        <v>121</v>
      </c>
      <c r="F98" s="1" t="s">
        <v>87</v>
      </c>
      <c r="G98" s="1" t="s">
        <v>175</v>
      </c>
      <c r="H98" s="1" t="s">
        <v>31</v>
      </c>
      <c r="I98" s="1">
        <v>11</v>
      </c>
      <c r="J98" s="6">
        <v>25000</v>
      </c>
      <c r="K98" s="6">
        <v>18000</v>
      </c>
      <c r="L98" s="6">
        <v>275000</v>
      </c>
      <c r="M98" s="6">
        <v>198000</v>
      </c>
      <c r="N98" s="6">
        <v>77000</v>
      </c>
      <c r="O98" s="1" t="s">
        <v>24</v>
      </c>
      <c r="P98" t="str">
        <f t="shared" si="1"/>
        <v>Dec</v>
      </c>
    </row>
    <row r="99" spans="1:16">
      <c r="A99" s="3" t="s">
        <v>287</v>
      </c>
      <c r="B99" s="1" t="s">
        <v>288</v>
      </c>
      <c r="C99" s="1" t="s">
        <v>155</v>
      </c>
      <c r="D99" s="1" t="s">
        <v>289</v>
      </c>
      <c r="E99" s="1" t="s">
        <v>36</v>
      </c>
      <c r="F99" s="1" t="s">
        <v>87</v>
      </c>
      <c r="G99" s="1" t="s">
        <v>118</v>
      </c>
      <c r="H99" s="1" t="s">
        <v>39</v>
      </c>
      <c r="I99" s="1">
        <v>2</v>
      </c>
      <c r="J99" s="6">
        <v>25000</v>
      </c>
      <c r="K99" s="6">
        <v>15000</v>
      </c>
      <c r="L99" s="6">
        <v>50000</v>
      </c>
      <c r="M99" s="6">
        <v>30000</v>
      </c>
      <c r="N99" s="6">
        <v>20000</v>
      </c>
      <c r="O99" s="1" t="s">
        <v>48</v>
      </c>
      <c r="P99" t="str">
        <f t="shared" si="1"/>
        <v>Dec</v>
      </c>
    </row>
    <row r="100" spans="1:16">
      <c r="A100" s="3" t="s">
        <v>161</v>
      </c>
      <c r="B100" s="1" t="s">
        <v>290</v>
      </c>
      <c r="C100" s="1" t="s">
        <v>192</v>
      </c>
      <c r="D100" s="1" t="s">
        <v>99</v>
      </c>
      <c r="E100" s="1" t="s">
        <v>44</v>
      </c>
      <c r="F100" s="1" t="s">
        <v>29</v>
      </c>
      <c r="G100" s="1" t="s">
        <v>22</v>
      </c>
      <c r="H100" s="1" t="s">
        <v>23</v>
      </c>
      <c r="I100" s="1">
        <v>6</v>
      </c>
      <c r="J100" s="6">
        <v>18000</v>
      </c>
      <c r="K100" s="6">
        <v>12000</v>
      </c>
      <c r="L100" s="6">
        <v>108000</v>
      </c>
      <c r="M100" s="6">
        <v>72000</v>
      </c>
      <c r="N100" s="6">
        <v>36000</v>
      </c>
      <c r="O100" s="1" t="s">
        <v>48</v>
      </c>
      <c r="P100" t="str">
        <f t="shared" si="1"/>
        <v>Feb</v>
      </c>
    </row>
    <row r="101" spans="1:16">
      <c r="A101" s="3" t="s">
        <v>49</v>
      </c>
      <c r="B101" s="1" t="s">
        <v>291</v>
      </c>
      <c r="C101" s="1" t="s">
        <v>159</v>
      </c>
      <c r="D101" s="1" t="s">
        <v>239</v>
      </c>
      <c r="E101" s="1" t="s">
        <v>121</v>
      </c>
      <c r="F101" s="1" t="s">
        <v>105</v>
      </c>
      <c r="G101" s="1" t="s">
        <v>75</v>
      </c>
      <c r="H101" s="1" t="s">
        <v>39</v>
      </c>
      <c r="I101" s="1">
        <v>3</v>
      </c>
      <c r="J101" s="6">
        <v>320000</v>
      </c>
      <c r="K101" s="6">
        <v>250000</v>
      </c>
      <c r="L101" s="6">
        <v>960000</v>
      </c>
      <c r="M101" s="6">
        <v>750000</v>
      </c>
      <c r="N101" s="6">
        <v>210000</v>
      </c>
      <c r="O101" s="1" t="s">
        <v>40</v>
      </c>
      <c r="P101" t="str">
        <f t="shared" si="1"/>
        <v>Aug</v>
      </c>
    </row>
    <row r="102" spans="1:16">
      <c r="A102" s="3">
        <v>46241</v>
      </c>
      <c r="B102" s="1" t="s">
        <v>292</v>
      </c>
      <c r="C102" s="1" t="s">
        <v>222</v>
      </c>
      <c r="D102" s="1" t="s">
        <v>199</v>
      </c>
      <c r="E102" s="1" t="s">
        <v>121</v>
      </c>
      <c r="F102" s="1" t="s">
        <v>59</v>
      </c>
      <c r="G102" s="1" t="s">
        <v>131</v>
      </c>
      <c r="H102" s="1" t="s">
        <v>47</v>
      </c>
      <c r="I102" s="1">
        <v>5</v>
      </c>
      <c r="J102" s="6">
        <v>45000</v>
      </c>
      <c r="K102" s="6">
        <v>32000</v>
      </c>
      <c r="L102" s="6">
        <v>225000</v>
      </c>
      <c r="M102" s="6">
        <v>160000</v>
      </c>
      <c r="N102" s="6">
        <v>65000</v>
      </c>
      <c r="O102" s="1" t="s">
        <v>48</v>
      </c>
      <c r="P102" t="str">
        <f t="shared" si="1"/>
        <v>Aug</v>
      </c>
    </row>
    <row r="103" spans="1:16">
      <c r="A103" s="3">
        <v>46383</v>
      </c>
      <c r="B103" s="1" t="s">
        <v>293</v>
      </c>
      <c r="C103" s="1" t="s">
        <v>133</v>
      </c>
      <c r="D103" s="1" t="s">
        <v>86</v>
      </c>
      <c r="E103" s="1" t="s">
        <v>121</v>
      </c>
      <c r="F103" s="1" t="s">
        <v>62</v>
      </c>
      <c r="G103" s="1" t="s">
        <v>151</v>
      </c>
      <c r="H103" s="1" t="s">
        <v>47</v>
      </c>
      <c r="I103" s="1">
        <v>7</v>
      </c>
      <c r="J103" s="6">
        <v>28000</v>
      </c>
      <c r="K103" s="6">
        <v>21000</v>
      </c>
      <c r="L103" s="6">
        <v>196000</v>
      </c>
      <c r="M103" s="6">
        <v>147000</v>
      </c>
      <c r="N103" s="6">
        <v>49000</v>
      </c>
      <c r="O103" s="1" t="s">
        <v>40</v>
      </c>
      <c r="P103" t="str">
        <f t="shared" si="1"/>
        <v>Dec</v>
      </c>
    </row>
    <row r="104" spans="1:16">
      <c r="A104" s="3">
        <v>46380</v>
      </c>
      <c r="B104" s="1" t="s">
        <v>294</v>
      </c>
      <c r="C104" s="1" t="s">
        <v>295</v>
      </c>
      <c r="D104" s="1" t="s">
        <v>233</v>
      </c>
      <c r="E104" s="1" t="s">
        <v>53</v>
      </c>
      <c r="F104" s="1" t="s">
        <v>90</v>
      </c>
      <c r="G104" s="1" t="s">
        <v>82</v>
      </c>
      <c r="H104" s="1" t="s">
        <v>31</v>
      </c>
      <c r="I104" s="1">
        <v>6</v>
      </c>
      <c r="J104" s="6">
        <v>6000</v>
      </c>
      <c r="K104" s="6">
        <v>3500</v>
      </c>
      <c r="L104" s="6">
        <v>36000</v>
      </c>
      <c r="M104" s="6">
        <v>21000</v>
      </c>
      <c r="N104" s="6">
        <v>15000</v>
      </c>
      <c r="O104" s="1" t="s">
        <v>40</v>
      </c>
      <c r="P104" t="str">
        <f t="shared" si="1"/>
        <v>Dec</v>
      </c>
    </row>
    <row r="105" spans="1:16">
      <c r="A105" s="3">
        <v>46043</v>
      </c>
      <c r="B105" s="1" t="s">
        <v>296</v>
      </c>
      <c r="C105" s="1" t="s">
        <v>108</v>
      </c>
      <c r="D105" s="1" t="s">
        <v>117</v>
      </c>
      <c r="E105" s="1" t="s">
        <v>44</v>
      </c>
      <c r="F105" s="1" t="s">
        <v>100</v>
      </c>
      <c r="G105" s="1" t="s">
        <v>101</v>
      </c>
      <c r="H105" s="1" t="s">
        <v>23</v>
      </c>
      <c r="I105" s="1">
        <v>12</v>
      </c>
      <c r="J105" s="6">
        <v>14000</v>
      </c>
      <c r="K105" s="6">
        <v>9500</v>
      </c>
      <c r="L105" s="6">
        <v>168000</v>
      </c>
      <c r="M105" s="6">
        <v>114000</v>
      </c>
      <c r="N105" s="6">
        <v>54000</v>
      </c>
      <c r="O105" s="1" t="s">
        <v>40</v>
      </c>
      <c r="P105" t="str">
        <f t="shared" si="1"/>
        <v>Jan</v>
      </c>
    </row>
    <row r="106" spans="1:16">
      <c r="A106" s="3">
        <v>46062</v>
      </c>
      <c r="B106" s="1" t="s">
        <v>297</v>
      </c>
      <c r="C106" s="1" t="s">
        <v>120</v>
      </c>
      <c r="D106" s="1" t="s">
        <v>298</v>
      </c>
      <c r="E106" s="1" t="s">
        <v>53</v>
      </c>
      <c r="F106" s="1" t="s">
        <v>87</v>
      </c>
      <c r="G106" s="1" t="s">
        <v>151</v>
      </c>
      <c r="H106" s="1" t="s">
        <v>47</v>
      </c>
      <c r="I106" s="1">
        <v>13</v>
      </c>
      <c r="J106" s="6">
        <v>28000</v>
      </c>
      <c r="K106" s="6">
        <v>21000</v>
      </c>
      <c r="L106" s="6">
        <v>364000</v>
      </c>
      <c r="M106" s="6">
        <v>273000</v>
      </c>
      <c r="N106" s="6">
        <v>91000</v>
      </c>
      <c r="O106" s="1" t="s">
        <v>24</v>
      </c>
      <c r="P106" t="str">
        <f t="shared" si="1"/>
        <v>Feb</v>
      </c>
    </row>
    <row r="107" spans="1:16">
      <c r="A107" s="3">
        <v>46084</v>
      </c>
      <c r="B107" s="1" t="s">
        <v>299</v>
      </c>
      <c r="C107" s="1" t="s">
        <v>300</v>
      </c>
      <c r="D107" s="1" t="s">
        <v>186</v>
      </c>
      <c r="E107" s="1" t="s">
        <v>20</v>
      </c>
      <c r="F107" s="1" t="s">
        <v>37</v>
      </c>
      <c r="G107" s="1" t="s">
        <v>30</v>
      </c>
      <c r="H107" s="1" t="s">
        <v>31</v>
      </c>
      <c r="I107" s="1">
        <v>10</v>
      </c>
      <c r="J107" s="6">
        <v>12000</v>
      </c>
      <c r="K107" s="6">
        <v>7000</v>
      </c>
      <c r="L107" s="6">
        <v>120000</v>
      </c>
      <c r="M107" s="6">
        <v>70000</v>
      </c>
      <c r="N107" s="6">
        <v>50000</v>
      </c>
      <c r="O107" s="1" t="s">
        <v>40</v>
      </c>
      <c r="P107" t="str">
        <f t="shared" si="1"/>
        <v>Mar</v>
      </c>
    </row>
    <row r="108" spans="1:16">
      <c r="A108" s="3" t="s">
        <v>301</v>
      </c>
      <c r="B108" s="1" t="s">
        <v>302</v>
      </c>
      <c r="C108" s="1" t="s">
        <v>238</v>
      </c>
      <c r="D108" s="1" t="s">
        <v>207</v>
      </c>
      <c r="E108" s="1" t="s">
        <v>80</v>
      </c>
      <c r="F108" s="1" t="s">
        <v>87</v>
      </c>
      <c r="G108" s="1" t="s">
        <v>118</v>
      </c>
      <c r="H108" s="1" t="s">
        <v>39</v>
      </c>
      <c r="I108" s="1">
        <v>15</v>
      </c>
      <c r="J108" s="6">
        <v>25000</v>
      </c>
      <c r="K108" s="6">
        <v>15000</v>
      </c>
      <c r="L108" s="6">
        <v>375000</v>
      </c>
      <c r="M108" s="6">
        <v>225000</v>
      </c>
      <c r="N108" s="6">
        <v>150000</v>
      </c>
      <c r="O108" s="1" t="s">
        <v>48</v>
      </c>
      <c r="P108" t="str">
        <f t="shared" si="1"/>
        <v>Sep</v>
      </c>
    </row>
    <row r="109" spans="1:16">
      <c r="A109" s="3">
        <v>46180</v>
      </c>
      <c r="B109" s="1" t="s">
        <v>303</v>
      </c>
      <c r="C109" s="1" t="s">
        <v>295</v>
      </c>
      <c r="D109" s="1" t="s">
        <v>304</v>
      </c>
      <c r="E109" s="1" t="s">
        <v>20</v>
      </c>
      <c r="F109" s="1" t="s">
        <v>110</v>
      </c>
      <c r="G109" s="1" t="s">
        <v>46</v>
      </c>
      <c r="H109" s="1" t="s">
        <v>47</v>
      </c>
      <c r="I109" s="1">
        <v>8</v>
      </c>
      <c r="J109" s="6">
        <v>65000</v>
      </c>
      <c r="K109" s="6">
        <v>50000</v>
      </c>
      <c r="L109" s="6">
        <v>520000</v>
      </c>
      <c r="M109" s="6">
        <v>400000</v>
      </c>
      <c r="N109" s="6">
        <v>120000</v>
      </c>
      <c r="O109" s="1" t="s">
        <v>24</v>
      </c>
      <c r="P109" t="str">
        <f t="shared" si="1"/>
        <v>Jun</v>
      </c>
    </row>
    <row r="110" spans="1:16">
      <c r="A110" s="3" t="s">
        <v>305</v>
      </c>
      <c r="B110" s="1" t="s">
        <v>306</v>
      </c>
      <c r="C110" s="1" t="s">
        <v>98</v>
      </c>
      <c r="D110" s="1" t="s">
        <v>171</v>
      </c>
      <c r="E110" s="1" t="s">
        <v>121</v>
      </c>
      <c r="F110" s="1" t="s">
        <v>59</v>
      </c>
      <c r="G110" s="1" t="s">
        <v>30</v>
      </c>
      <c r="H110" s="1" t="s">
        <v>31</v>
      </c>
      <c r="I110" s="1">
        <v>5</v>
      </c>
      <c r="J110" s="6">
        <v>12000</v>
      </c>
      <c r="K110" s="6">
        <v>7000</v>
      </c>
      <c r="L110" s="6">
        <v>60000</v>
      </c>
      <c r="M110" s="6">
        <v>35000</v>
      </c>
      <c r="N110" s="6">
        <v>25000</v>
      </c>
      <c r="O110" s="1" t="s">
        <v>24</v>
      </c>
      <c r="P110" t="str">
        <f t="shared" si="1"/>
        <v>May</v>
      </c>
    </row>
    <row r="111" spans="1:16">
      <c r="A111" s="3">
        <v>46147</v>
      </c>
      <c r="B111" s="1" t="s">
        <v>307</v>
      </c>
      <c r="C111" s="1" t="s">
        <v>108</v>
      </c>
      <c r="D111" s="1" t="s">
        <v>52</v>
      </c>
      <c r="E111" s="1" t="s">
        <v>80</v>
      </c>
      <c r="F111" s="1" t="s">
        <v>105</v>
      </c>
      <c r="G111" s="1" t="s">
        <v>101</v>
      </c>
      <c r="H111" s="1" t="s">
        <v>23</v>
      </c>
      <c r="I111" s="1">
        <v>4</v>
      </c>
      <c r="J111" s="6">
        <v>14000</v>
      </c>
      <c r="K111" s="6">
        <v>9500</v>
      </c>
      <c r="L111" s="6">
        <v>56000</v>
      </c>
      <c r="M111" s="6">
        <v>38000</v>
      </c>
      <c r="N111" s="6">
        <v>18000</v>
      </c>
      <c r="O111" s="1" t="s">
        <v>24</v>
      </c>
      <c r="P111" t="str">
        <f t="shared" si="1"/>
        <v>May</v>
      </c>
    </row>
    <row r="112" spans="1:16">
      <c r="A112" s="3" t="s">
        <v>176</v>
      </c>
      <c r="B112" s="1" t="s">
        <v>308</v>
      </c>
      <c r="C112" s="1" t="s">
        <v>247</v>
      </c>
      <c r="D112" s="1" t="s">
        <v>309</v>
      </c>
      <c r="E112" s="1" t="s">
        <v>36</v>
      </c>
      <c r="F112" s="1" t="s">
        <v>62</v>
      </c>
      <c r="G112" s="1" t="s">
        <v>151</v>
      </c>
      <c r="H112" s="1" t="s">
        <v>47</v>
      </c>
      <c r="I112" s="1">
        <v>7</v>
      </c>
      <c r="J112" s="6">
        <v>28000</v>
      </c>
      <c r="K112" s="6">
        <v>21000</v>
      </c>
      <c r="L112" s="6">
        <v>196000</v>
      </c>
      <c r="M112" s="6">
        <v>147000</v>
      </c>
      <c r="N112" s="6">
        <v>49000</v>
      </c>
      <c r="O112" s="1" t="s">
        <v>40</v>
      </c>
      <c r="P112" t="str">
        <f t="shared" si="1"/>
        <v>Oct</v>
      </c>
    </row>
    <row r="113" spans="1:16">
      <c r="A113" s="3">
        <v>46205</v>
      </c>
      <c r="B113" s="1" t="s">
        <v>310</v>
      </c>
      <c r="C113" s="1" t="s">
        <v>150</v>
      </c>
      <c r="D113" s="1" t="s">
        <v>215</v>
      </c>
      <c r="E113" s="1" t="s">
        <v>53</v>
      </c>
      <c r="F113" s="1" t="s">
        <v>45</v>
      </c>
      <c r="G113" s="1" t="s">
        <v>38</v>
      </c>
      <c r="H113" s="1" t="s">
        <v>39</v>
      </c>
      <c r="I113" s="1">
        <v>8</v>
      </c>
      <c r="J113" s="6">
        <v>180000</v>
      </c>
      <c r="K113" s="6">
        <v>140000</v>
      </c>
      <c r="L113" s="6">
        <v>1440000</v>
      </c>
      <c r="M113" s="6">
        <v>1120000</v>
      </c>
      <c r="N113" s="6">
        <v>320000</v>
      </c>
      <c r="O113" s="1" t="s">
        <v>40</v>
      </c>
      <c r="P113" t="str">
        <f t="shared" si="1"/>
        <v>Jul</v>
      </c>
    </row>
    <row r="114" spans="1:16">
      <c r="A114" s="3" t="s">
        <v>311</v>
      </c>
      <c r="B114" s="1" t="s">
        <v>312</v>
      </c>
      <c r="C114" s="1" t="s">
        <v>155</v>
      </c>
      <c r="D114" s="1" t="s">
        <v>199</v>
      </c>
      <c r="E114" s="1" t="s">
        <v>44</v>
      </c>
      <c r="F114" s="1" t="s">
        <v>62</v>
      </c>
      <c r="G114" s="1" t="s">
        <v>82</v>
      </c>
      <c r="H114" s="1" t="s">
        <v>31</v>
      </c>
      <c r="I114" s="1">
        <v>7</v>
      </c>
      <c r="J114" s="6">
        <v>6000</v>
      </c>
      <c r="K114" s="6">
        <v>3500</v>
      </c>
      <c r="L114" s="6">
        <v>42000</v>
      </c>
      <c r="M114" s="6">
        <v>24500</v>
      </c>
      <c r="N114" s="6">
        <v>17500</v>
      </c>
      <c r="O114" s="1" t="s">
        <v>48</v>
      </c>
      <c r="P114" t="str">
        <f t="shared" si="1"/>
        <v>Sep</v>
      </c>
    </row>
    <row r="115" spans="1:16">
      <c r="A115" s="3" t="s">
        <v>161</v>
      </c>
      <c r="B115" s="1" t="s">
        <v>313</v>
      </c>
      <c r="C115" s="1" t="s">
        <v>51</v>
      </c>
      <c r="D115" s="1" t="s">
        <v>314</v>
      </c>
      <c r="E115" s="1" t="s">
        <v>53</v>
      </c>
      <c r="F115" s="1" t="s">
        <v>105</v>
      </c>
      <c r="G115" s="1" t="s">
        <v>46</v>
      </c>
      <c r="H115" s="1" t="s">
        <v>47</v>
      </c>
      <c r="I115" s="1">
        <v>11</v>
      </c>
      <c r="J115" s="6">
        <v>65000</v>
      </c>
      <c r="K115" s="6">
        <v>50000</v>
      </c>
      <c r="L115" s="6">
        <v>715000</v>
      </c>
      <c r="M115" s="6">
        <v>550000</v>
      </c>
      <c r="N115" s="6">
        <v>165000</v>
      </c>
      <c r="O115" s="1" t="s">
        <v>40</v>
      </c>
      <c r="P115" t="str">
        <f t="shared" si="1"/>
        <v>Feb</v>
      </c>
    </row>
    <row r="116" spans="1:16">
      <c r="A116" s="3" t="s">
        <v>106</v>
      </c>
      <c r="B116" s="1" t="s">
        <v>315</v>
      </c>
      <c r="C116" s="1" t="s">
        <v>192</v>
      </c>
      <c r="D116" s="1" t="s">
        <v>243</v>
      </c>
      <c r="E116" s="1" t="s">
        <v>80</v>
      </c>
      <c r="F116" s="1" t="s">
        <v>21</v>
      </c>
      <c r="G116" s="1" t="s">
        <v>101</v>
      </c>
      <c r="H116" s="1" t="s">
        <v>23</v>
      </c>
      <c r="I116" s="1">
        <v>4</v>
      </c>
      <c r="J116" s="6">
        <v>14000</v>
      </c>
      <c r="K116" s="6">
        <v>9500</v>
      </c>
      <c r="L116" s="6">
        <v>56000</v>
      </c>
      <c r="M116" s="6">
        <v>38000</v>
      </c>
      <c r="N116" s="6">
        <v>18000</v>
      </c>
      <c r="O116" s="1" t="s">
        <v>40</v>
      </c>
      <c r="P116" t="str">
        <f t="shared" si="1"/>
        <v>Jun</v>
      </c>
    </row>
    <row r="117" spans="1:16">
      <c r="A117" s="3">
        <v>46386</v>
      </c>
      <c r="B117" s="1" t="s">
        <v>316</v>
      </c>
      <c r="C117" s="1" t="s">
        <v>205</v>
      </c>
      <c r="D117" s="1" t="s">
        <v>283</v>
      </c>
      <c r="E117" s="1" t="s">
        <v>20</v>
      </c>
      <c r="F117" s="1" t="s">
        <v>100</v>
      </c>
      <c r="G117" s="1" t="s">
        <v>75</v>
      </c>
      <c r="H117" s="1" t="s">
        <v>39</v>
      </c>
      <c r="I117" s="1">
        <v>14</v>
      </c>
      <c r="J117" s="6">
        <v>320000</v>
      </c>
      <c r="K117" s="6">
        <v>250000</v>
      </c>
      <c r="L117" s="6">
        <v>4480000</v>
      </c>
      <c r="M117" s="6">
        <v>3500000</v>
      </c>
      <c r="N117" s="6">
        <v>980000</v>
      </c>
      <c r="O117" s="1" t="s">
        <v>48</v>
      </c>
      <c r="P117" t="str">
        <f t="shared" si="1"/>
        <v>Dec</v>
      </c>
    </row>
    <row r="118" spans="1:16">
      <c r="A118" s="3">
        <v>46085</v>
      </c>
      <c r="B118" s="1" t="s">
        <v>317</v>
      </c>
      <c r="C118" s="1" t="s">
        <v>247</v>
      </c>
      <c r="D118" s="1" t="s">
        <v>167</v>
      </c>
      <c r="E118" s="1" t="s">
        <v>20</v>
      </c>
      <c r="F118" s="1" t="s">
        <v>147</v>
      </c>
      <c r="G118" s="1" t="s">
        <v>70</v>
      </c>
      <c r="H118" s="1" t="s">
        <v>23</v>
      </c>
      <c r="I118" s="1">
        <v>14</v>
      </c>
      <c r="J118" s="6">
        <v>55000</v>
      </c>
      <c r="K118" s="6">
        <v>42000</v>
      </c>
      <c r="L118" s="6">
        <v>770000</v>
      </c>
      <c r="M118" s="6">
        <v>588000</v>
      </c>
      <c r="N118" s="6">
        <v>182000</v>
      </c>
      <c r="O118" s="1" t="s">
        <v>48</v>
      </c>
      <c r="P118" t="str">
        <f t="shared" si="1"/>
        <v>Mar</v>
      </c>
    </row>
    <row r="119" spans="1:16">
      <c r="A119" s="3">
        <v>46085</v>
      </c>
      <c r="B119" s="1" t="s">
        <v>318</v>
      </c>
      <c r="C119" s="1" t="s">
        <v>98</v>
      </c>
      <c r="D119" s="1" t="s">
        <v>319</v>
      </c>
      <c r="E119" s="1" t="s">
        <v>80</v>
      </c>
      <c r="F119" s="1" t="s">
        <v>147</v>
      </c>
      <c r="G119" s="1" t="s">
        <v>70</v>
      </c>
      <c r="H119" s="1" t="s">
        <v>23</v>
      </c>
      <c r="I119" s="1">
        <v>13</v>
      </c>
      <c r="J119" s="6">
        <v>55000</v>
      </c>
      <c r="K119" s="6">
        <v>42000</v>
      </c>
      <c r="L119" s="6">
        <v>715000</v>
      </c>
      <c r="M119" s="6">
        <v>546000</v>
      </c>
      <c r="N119" s="6">
        <v>169000</v>
      </c>
      <c r="O119" s="1" t="s">
        <v>24</v>
      </c>
      <c r="P119" t="str">
        <f t="shared" si="1"/>
        <v>Mar</v>
      </c>
    </row>
    <row r="120" spans="1:16">
      <c r="A120" s="3">
        <v>46293</v>
      </c>
      <c r="B120" s="1" t="s">
        <v>320</v>
      </c>
      <c r="C120" s="1" t="s">
        <v>163</v>
      </c>
      <c r="D120" s="1" t="s">
        <v>250</v>
      </c>
      <c r="E120" s="1" t="s">
        <v>121</v>
      </c>
      <c r="F120" s="1" t="s">
        <v>135</v>
      </c>
      <c r="G120" s="1" t="s">
        <v>82</v>
      </c>
      <c r="H120" s="1" t="s">
        <v>31</v>
      </c>
      <c r="I120" s="1">
        <v>2</v>
      </c>
      <c r="J120" s="6">
        <v>6000</v>
      </c>
      <c r="K120" s="6">
        <v>3500</v>
      </c>
      <c r="L120" s="6">
        <v>12000</v>
      </c>
      <c r="M120" s="6">
        <v>7000</v>
      </c>
      <c r="N120" s="6">
        <v>5000</v>
      </c>
      <c r="O120" s="1" t="s">
        <v>24</v>
      </c>
      <c r="P120" t="str">
        <f t="shared" si="1"/>
        <v>Sep</v>
      </c>
    </row>
    <row r="121" spans="1:16">
      <c r="A121" s="3">
        <v>46139</v>
      </c>
      <c r="B121" s="1" t="s">
        <v>321</v>
      </c>
      <c r="C121" s="1" t="s">
        <v>322</v>
      </c>
      <c r="D121" s="1" t="s">
        <v>65</v>
      </c>
      <c r="E121" s="1" t="s">
        <v>53</v>
      </c>
      <c r="F121" s="1" t="s">
        <v>95</v>
      </c>
      <c r="G121" s="1" t="s">
        <v>118</v>
      </c>
      <c r="H121" s="1" t="s">
        <v>39</v>
      </c>
      <c r="I121" s="1">
        <v>1</v>
      </c>
      <c r="J121" s="6">
        <v>25000</v>
      </c>
      <c r="K121" s="6">
        <v>15000</v>
      </c>
      <c r="L121" s="6">
        <v>25000</v>
      </c>
      <c r="M121" s="6">
        <v>15000</v>
      </c>
      <c r="N121" s="6">
        <v>10000</v>
      </c>
      <c r="O121" s="1" t="s">
        <v>24</v>
      </c>
      <c r="P121" t="str">
        <f t="shared" si="1"/>
        <v>Apr</v>
      </c>
    </row>
    <row r="122" spans="1:16">
      <c r="A122" s="3">
        <v>46085</v>
      </c>
      <c r="B122" s="1" t="s">
        <v>323</v>
      </c>
      <c r="C122" s="1" t="s">
        <v>64</v>
      </c>
      <c r="D122" s="1" t="s">
        <v>283</v>
      </c>
      <c r="E122" s="1" t="s">
        <v>53</v>
      </c>
      <c r="F122" s="1" t="s">
        <v>110</v>
      </c>
      <c r="G122" s="1" t="s">
        <v>175</v>
      </c>
      <c r="H122" s="1" t="s">
        <v>31</v>
      </c>
      <c r="I122" s="1">
        <v>11</v>
      </c>
      <c r="J122" s="6">
        <v>25000</v>
      </c>
      <c r="K122" s="6">
        <v>18000</v>
      </c>
      <c r="L122" s="6">
        <v>275000</v>
      </c>
      <c r="M122" s="6">
        <v>198000</v>
      </c>
      <c r="N122" s="6">
        <v>77000</v>
      </c>
      <c r="O122" s="1" t="s">
        <v>48</v>
      </c>
      <c r="P122" t="str">
        <f t="shared" si="1"/>
        <v>Mar</v>
      </c>
    </row>
    <row r="123" spans="1:16">
      <c r="A123" s="3">
        <v>46215</v>
      </c>
      <c r="B123" s="1" t="s">
        <v>324</v>
      </c>
      <c r="C123" s="1" t="s">
        <v>325</v>
      </c>
      <c r="D123" s="1" t="s">
        <v>130</v>
      </c>
      <c r="E123" s="1" t="s">
        <v>80</v>
      </c>
      <c r="F123" s="1" t="s">
        <v>105</v>
      </c>
      <c r="G123" s="1" t="s">
        <v>38</v>
      </c>
      <c r="H123" s="1" t="s">
        <v>39</v>
      </c>
      <c r="I123" s="1">
        <v>10</v>
      </c>
      <c r="J123" s="6">
        <v>180000</v>
      </c>
      <c r="K123" s="6">
        <v>140000</v>
      </c>
      <c r="L123" s="6">
        <v>1800000</v>
      </c>
      <c r="M123" s="6">
        <v>1400000</v>
      </c>
      <c r="N123" s="6">
        <v>400000</v>
      </c>
      <c r="O123" s="1" t="s">
        <v>24</v>
      </c>
      <c r="P123" t="str">
        <f t="shared" si="1"/>
        <v>Jul</v>
      </c>
    </row>
    <row r="124" spans="1:16">
      <c r="A124" s="3">
        <v>46102</v>
      </c>
      <c r="B124" s="1" t="s">
        <v>326</v>
      </c>
      <c r="C124" s="1" t="s">
        <v>67</v>
      </c>
      <c r="D124" s="1" t="s">
        <v>160</v>
      </c>
      <c r="E124" s="1" t="s">
        <v>53</v>
      </c>
      <c r="F124" s="1" t="s">
        <v>105</v>
      </c>
      <c r="G124" s="1" t="s">
        <v>30</v>
      </c>
      <c r="H124" s="1" t="s">
        <v>31</v>
      </c>
      <c r="I124" s="1">
        <v>13</v>
      </c>
      <c r="J124" s="6">
        <v>12000</v>
      </c>
      <c r="K124" s="6">
        <v>7000</v>
      </c>
      <c r="L124" s="6">
        <v>156000</v>
      </c>
      <c r="M124" s="6">
        <v>91000</v>
      </c>
      <c r="N124" s="6">
        <v>65000</v>
      </c>
      <c r="O124" s="1" t="s">
        <v>24</v>
      </c>
      <c r="P124" t="str">
        <f t="shared" si="1"/>
        <v>Mar</v>
      </c>
    </row>
    <row r="125" spans="1:16">
      <c r="A125" s="3">
        <v>46207</v>
      </c>
      <c r="B125" s="1" t="s">
        <v>327</v>
      </c>
      <c r="C125" s="1" t="s">
        <v>72</v>
      </c>
      <c r="D125" s="1" t="s">
        <v>140</v>
      </c>
      <c r="E125" s="1" t="s">
        <v>121</v>
      </c>
      <c r="F125" s="1" t="s">
        <v>141</v>
      </c>
      <c r="G125" s="1" t="s">
        <v>38</v>
      </c>
      <c r="H125" s="1" t="s">
        <v>39</v>
      </c>
      <c r="I125" s="1">
        <v>6</v>
      </c>
      <c r="J125" s="6">
        <v>180000</v>
      </c>
      <c r="K125" s="6">
        <v>140000</v>
      </c>
      <c r="L125" s="6">
        <v>1080000</v>
      </c>
      <c r="M125" s="6">
        <v>840000</v>
      </c>
      <c r="N125" s="6">
        <v>240000</v>
      </c>
      <c r="O125" s="1" t="s">
        <v>40</v>
      </c>
      <c r="P125" t="str">
        <f t="shared" si="1"/>
        <v>Jul</v>
      </c>
    </row>
    <row r="126" spans="1:16">
      <c r="A126" s="3">
        <v>46177</v>
      </c>
      <c r="B126" s="1" t="s">
        <v>328</v>
      </c>
      <c r="C126" s="1" t="s">
        <v>329</v>
      </c>
      <c r="D126" s="1" t="s">
        <v>309</v>
      </c>
      <c r="E126" s="1" t="s">
        <v>36</v>
      </c>
      <c r="F126" s="1" t="s">
        <v>59</v>
      </c>
      <c r="G126" s="1" t="s">
        <v>46</v>
      </c>
      <c r="H126" s="1" t="s">
        <v>47</v>
      </c>
      <c r="I126" s="1">
        <v>11</v>
      </c>
      <c r="J126" s="6">
        <v>65000</v>
      </c>
      <c r="K126" s="6">
        <v>50000</v>
      </c>
      <c r="L126" s="6">
        <v>715000</v>
      </c>
      <c r="M126" s="6">
        <v>550000</v>
      </c>
      <c r="N126" s="6">
        <v>165000</v>
      </c>
      <c r="O126" s="1" t="s">
        <v>48</v>
      </c>
      <c r="P126" t="str">
        <f t="shared" si="1"/>
        <v>Jun</v>
      </c>
    </row>
    <row r="127" spans="1:16">
      <c r="A127" s="3">
        <v>46198</v>
      </c>
      <c r="B127" s="1" t="s">
        <v>330</v>
      </c>
      <c r="C127" s="1" t="s">
        <v>116</v>
      </c>
      <c r="D127" s="1" t="s">
        <v>164</v>
      </c>
      <c r="E127" s="1" t="s">
        <v>80</v>
      </c>
      <c r="F127" s="1" t="s">
        <v>29</v>
      </c>
      <c r="G127" s="1" t="s">
        <v>118</v>
      </c>
      <c r="H127" s="1" t="s">
        <v>39</v>
      </c>
      <c r="I127" s="1">
        <v>1</v>
      </c>
      <c r="J127" s="6">
        <v>25000</v>
      </c>
      <c r="K127" s="6">
        <v>15000</v>
      </c>
      <c r="L127" s="6">
        <v>25000</v>
      </c>
      <c r="M127" s="6">
        <v>15000</v>
      </c>
      <c r="N127" s="6">
        <v>10000</v>
      </c>
      <c r="O127" s="1" t="s">
        <v>48</v>
      </c>
      <c r="P127" t="str">
        <f t="shared" si="1"/>
        <v>Jun</v>
      </c>
    </row>
    <row r="128" spans="1:16">
      <c r="A128" s="3">
        <v>46207</v>
      </c>
      <c r="B128" s="1" t="s">
        <v>331</v>
      </c>
      <c r="C128" s="1" t="s">
        <v>133</v>
      </c>
      <c r="D128" s="1" t="s">
        <v>332</v>
      </c>
      <c r="E128" s="1" t="s">
        <v>36</v>
      </c>
      <c r="F128" s="1" t="s">
        <v>45</v>
      </c>
      <c r="G128" s="1" t="s">
        <v>70</v>
      </c>
      <c r="H128" s="1" t="s">
        <v>23</v>
      </c>
      <c r="I128" s="1">
        <v>10</v>
      </c>
      <c r="J128" s="6">
        <v>55000</v>
      </c>
      <c r="K128" s="6">
        <v>42000</v>
      </c>
      <c r="L128" s="6">
        <v>550000</v>
      </c>
      <c r="M128" s="6">
        <v>420000</v>
      </c>
      <c r="N128" s="6">
        <v>130000</v>
      </c>
      <c r="O128" s="1" t="s">
        <v>48</v>
      </c>
      <c r="P128" t="str">
        <f t="shared" si="1"/>
        <v>Jul</v>
      </c>
    </row>
    <row r="129" spans="1:16">
      <c r="A129" s="3">
        <v>46270</v>
      </c>
      <c r="B129" s="1" t="s">
        <v>333</v>
      </c>
      <c r="C129" s="1" t="s">
        <v>322</v>
      </c>
      <c r="D129" s="1" t="s">
        <v>79</v>
      </c>
      <c r="E129" s="1" t="s">
        <v>44</v>
      </c>
      <c r="F129" s="1" t="s">
        <v>90</v>
      </c>
      <c r="G129" s="1" t="s">
        <v>151</v>
      </c>
      <c r="H129" s="1" t="s">
        <v>47</v>
      </c>
      <c r="I129" s="1">
        <v>6</v>
      </c>
      <c r="J129" s="6">
        <v>28000</v>
      </c>
      <c r="K129" s="6">
        <v>21000</v>
      </c>
      <c r="L129" s="6">
        <v>168000</v>
      </c>
      <c r="M129" s="6">
        <v>126000</v>
      </c>
      <c r="N129" s="6">
        <v>42000</v>
      </c>
      <c r="O129" s="1" t="s">
        <v>40</v>
      </c>
      <c r="P129" t="str">
        <f t="shared" si="1"/>
        <v>Sep</v>
      </c>
    </row>
    <row r="130" spans="1:16">
      <c r="A130" s="3">
        <v>46286</v>
      </c>
      <c r="B130" s="1" t="s">
        <v>334</v>
      </c>
      <c r="C130" s="1" t="s">
        <v>159</v>
      </c>
      <c r="D130" s="1" t="s">
        <v>73</v>
      </c>
      <c r="E130" s="1" t="s">
        <v>44</v>
      </c>
      <c r="F130" s="1" t="s">
        <v>110</v>
      </c>
      <c r="G130" s="1" t="s">
        <v>38</v>
      </c>
      <c r="H130" s="1" t="s">
        <v>39</v>
      </c>
      <c r="I130" s="1">
        <v>12</v>
      </c>
      <c r="J130" s="6">
        <v>180000</v>
      </c>
      <c r="K130" s="6">
        <v>140000</v>
      </c>
      <c r="L130" s="6">
        <v>2160000</v>
      </c>
      <c r="M130" s="6">
        <v>1680000</v>
      </c>
      <c r="N130" s="6">
        <v>480000</v>
      </c>
      <c r="O130" s="1" t="s">
        <v>48</v>
      </c>
      <c r="P130" t="str">
        <f t="shared" si="1"/>
        <v>Sep</v>
      </c>
    </row>
    <row r="131" spans="1:16">
      <c r="A131" s="3">
        <v>46146</v>
      </c>
      <c r="B131" s="1" t="s">
        <v>335</v>
      </c>
      <c r="C131" s="1" t="s">
        <v>42</v>
      </c>
      <c r="D131" s="1" t="s">
        <v>336</v>
      </c>
      <c r="E131" s="1" t="s">
        <v>36</v>
      </c>
      <c r="F131" s="1" t="s">
        <v>168</v>
      </c>
      <c r="G131" s="1" t="s">
        <v>118</v>
      </c>
      <c r="H131" s="1" t="s">
        <v>39</v>
      </c>
      <c r="I131" s="1">
        <v>11</v>
      </c>
      <c r="J131" s="6">
        <v>25000</v>
      </c>
      <c r="K131" s="6">
        <v>15000</v>
      </c>
      <c r="L131" s="6">
        <v>275000</v>
      </c>
      <c r="M131" s="6">
        <v>165000</v>
      </c>
      <c r="N131" s="6">
        <v>110000</v>
      </c>
      <c r="O131" s="1" t="s">
        <v>40</v>
      </c>
      <c r="P131" t="str">
        <f t="shared" ref="P131:P194" si="2">TEXT(A131, "mmm")</f>
        <v>May</v>
      </c>
    </row>
    <row r="132" spans="1:16">
      <c r="A132" s="3" t="s">
        <v>337</v>
      </c>
      <c r="B132" s="1" t="s">
        <v>338</v>
      </c>
      <c r="C132" s="1" t="s">
        <v>150</v>
      </c>
      <c r="D132" s="1" t="s">
        <v>58</v>
      </c>
      <c r="E132" s="1" t="s">
        <v>80</v>
      </c>
      <c r="F132" s="1" t="s">
        <v>100</v>
      </c>
      <c r="G132" s="1" t="s">
        <v>131</v>
      </c>
      <c r="H132" s="1" t="s">
        <v>47</v>
      </c>
      <c r="I132" s="1">
        <v>12</v>
      </c>
      <c r="J132" s="6">
        <v>45000</v>
      </c>
      <c r="K132" s="6">
        <v>32000</v>
      </c>
      <c r="L132" s="6">
        <v>540000</v>
      </c>
      <c r="M132" s="6">
        <v>384000</v>
      </c>
      <c r="N132" s="6">
        <v>156000</v>
      </c>
      <c r="O132" s="1" t="s">
        <v>48</v>
      </c>
      <c r="P132" t="str">
        <f t="shared" si="2"/>
        <v>Feb</v>
      </c>
    </row>
    <row r="133" spans="1:16">
      <c r="A133" s="3">
        <v>46269</v>
      </c>
      <c r="B133" s="1" t="s">
        <v>339</v>
      </c>
      <c r="C133" s="1" t="s">
        <v>300</v>
      </c>
      <c r="D133" s="1" t="s">
        <v>79</v>
      </c>
      <c r="E133" s="1" t="s">
        <v>53</v>
      </c>
      <c r="F133" s="1" t="s">
        <v>37</v>
      </c>
      <c r="G133" s="1" t="s">
        <v>101</v>
      </c>
      <c r="H133" s="1" t="s">
        <v>23</v>
      </c>
      <c r="I133" s="1">
        <v>2</v>
      </c>
      <c r="J133" s="6">
        <v>14000</v>
      </c>
      <c r="K133" s="6">
        <v>9500</v>
      </c>
      <c r="L133" s="6">
        <v>28000</v>
      </c>
      <c r="M133" s="6">
        <v>19000</v>
      </c>
      <c r="N133" s="6">
        <v>9000</v>
      </c>
      <c r="O133" s="1" t="s">
        <v>40</v>
      </c>
      <c r="P133" t="str">
        <f t="shared" si="2"/>
        <v>Sep</v>
      </c>
    </row>
    <row r="134" spans="1:16">
      <c r="A134" s="3">
        <v>46269</v>
      </c>
      <c r="B134" s="1" t="s">
        <v>340</v>
      </c>
      <c r="C134" s="1" t="s">
        <v>220</v>
      </c>
      <c r="D134" s="1" t="s">
        <v>298</v>
      </c>
      <c r="E134" s="1" t="s">
        <v>53</v>
      </c>
      <c r="F134" s="1" t="s">
        <v>62</v>
      </c>
      <c r="G134" s="1" t="s">
        <v>70</v>
      </c>
      <c r="H134" s="1" t="s">
        <v>23</v>
      </c>
      <c r="I134" s="1">
        <v>7</v>
      </c>
      <c r="J134" s="6">
        <v>55000</v>
      </c>
      <c r="K134" s="6">
        <v>42000</v>
      </c>
      <c r="L134" s="6">
        <v>385000</v>
      </c>
      <c r="M134" s="6">
        <v>294000</v>
      </c>
      <c r="N134" s="6">
        <v>91000</v>
      </c>
      <c r="O134" s="1" t="s">
        <v>24</v>
      </c>
      <c r="P134" t="str">
        <f t="shared" si="2"/>
        <v>Sep</v>
      </c>
    </row>
    <row r="135" spans="1:16">
      <c r="A135" s="3">
        <v>46377</v>
      </c>
      <c r="B135" s="1" t="s">
        <v>341</v>
      </c>
      <c r="C135" s="1" t="s">
        <v>342</v>
      </c>
      <c r="D135" s="1" t="s">
        <v>343</v>
      </c>
      <c r="E135" s="1" t="s">
        <v>210</v>
      </c>
      <c r="F135" s="1" t="s">
        <v>45</v>
      </c>
      <c r="G135" s="1" t="s">
        <v>82</v>
      </c>
      <c r="H135" s="1" t="s">
        <v>31</v>
      </c>
      <c r="I135" s="1">
        <v>1</v>
      </c>
      <c r="J135" s="6">
        <v>6000</v>
      </c>
      <c r="K135" s="6">
        <v>3500</v>
      </c>
      <c r="L135" s="6">
        <v>6000</v>
      </c>
      <c r="M135" s="6">
        <v>3500</v>
      </c>
      <c r="N135" s="6">
        <v>2500</v>
      </c>
      <c r="O135" s="1" t="s">
        <v>40</v>
      </c>
      <c r="P135" t="str">
        <f t="shared" si="2"/>
        <v>Dec</v>
      </c>
    </row>
    <row r="136" spans="1:16">
      <c r="A136" s="3" t="s">
        <v>55</v>
      </c>
      <c r="B136" s="1" t="s">
        <v>344</v>
      </c>
      <c r="C136" s="1" t="s">
        <v>85</v>
      </c>
      <c r="D136" s="1" t="s">
        <v>164</v>
      </c>
      <c r="E136" s="1" t="s">
        <v>20</v>
      </c>
      <c r="F136" s="1" t="s">
        <v>110</v>
      </c>
      <c r="G136" s="1" t="s">
        <v>70</v>
      </c>
      <c r="H136" s="1" t="s">
        <v>23</v>
      </c>
      <c r="I136" s="1">
        <v>12</v>
      </c>
      <c r="J136" s="6">
        <v>55000</v>
      </c>
      <c r="K136" s="6">
        <v>42000</v>
      </c>
      <c r="L136" s="6">
        <v>660000</v>
      </c>
      <c r="M136" s="6">
        <v>504000</v>
      </c>
      <c r="N136" s="6">
        <v>156000</v>
      </c>
      <c r="O136" s="1" t="s">
        <v>48</v>
      </c>
      <c r="P136" t="str">
        <f t="shared" si="2"/>
        <v>Aug</v>
      </c>
    </row>
    <row r="137" spans="1:16">
      <c r="A137" s="3">
        <v>46340</v>
      </c>
      <c r="B137" s="1" t="s">
        <v>345</v>
      </c>
      <c r="C137" s="1" t="s">
        <v>72</v>
      </c>
      <c r="D137" s="1" t="s">
        <v>73</v>
      </c>
      <c r="E137" s="1" t="s">
        <v>121</v>
      </c>
      <c r="F137" s="1" t="s">
        <v>29</v>
      </c>
      <c r="G137" s="1" t="s">
        <v>82</v>
      </c>
      <c r="H137" s="1" t="s">
        <v>31</v>
      </c>
      <c r="I137" s="1">
        <v>1</v>
      </c>
      <c r="J137" s="6">
        <v>6000</v>
      </c>
      <c r="K137" s="6">
        <v>3500</v>
      </c>
      <c r="L137" s="6">
        <v>6000</v>
      </c>
      <c r="M137" s="6">
        <v>3500</v>
      </c>
      <c r="N137" s="6">
        <v>2500</v>
      </c>
      <c r="O137" s="1" t="s">
        <v>24</v>
      </c>
      <c r="P137" t="str">
        <f t="shared" si="2"/>
        <v>Nov</v>
      </c>
    </row>
    <row r="138" spans="1:16">
      <c r="A138" s="3">
        <v>46314</v>
      </c>
      <c r="B138" s="1" t="s">
        <v>346</v>
      </c>
      <c r="C138" s="1" t="s">
        <v>42</v>
      </c>
      <c r="D138" s="1" t="s">
        <v>304</v>
      </c>
      <c r="E138" s="1" t="s">
        <v>210</v>
      </c>
      <c r="F138" s="1" t="s">
        <v>110</v>
      </c>
      <c r="G138" s="1" t="s">
        <v>46</v>
      </c>
      <c r="H138" s="1" t="s">
        <v>47</v>
      </c>
      <c r="I138" s="1">
        <v>7</v>
      </c>
      <c r="J138" s="6">
        <v>65000</v>
      </c>
      <c r="K138" s="6">
        <v>50000</v>
      </c>
      <c r="L138" s="6">
        <v>455000</v>
      </c>
      <c r="M138" s="6">
        <v>350000</v>
      </c>
      <c r="N138" s="6">
        <v>105000</v>
      </c>
      <c r="O138" s="1" t="s">
        <v>24</v>
      </c>
      <c r="P138" t="str">
        <f t="shared" si="2"/>
        <v>Oct</v>
      </c>
    </row>
    <row r="139" spans="1:16">
      <c r="A139" s="3">
        <v>46336</v>
      </c>
      <c r="B139" s="1" t="s">
        <v>347</v>
      </c>
      <c r="C139" s="1" t="s">
        <v>232</v>
      </c>
      <c r="D139" s="1" t="s">
        <v>332</v>
      </c>
      <c r="E139" s="1" t="s">
        <v>121</v>
      </c>
      <c r="F139" s="1" t="s">
        <v>81</v>
      </c>
      <c r="G139" s="1" t="s">
        <v>30</v>
      </c>
      <c r="H139" s="1" t="s">
        <v>31</v>
      </c>
      <c r="I139" s="1">
        <v>4</v>
      </c>
      <c r="J139" s="6">
        <v>12000</v>
      </c>
      <c r="K139" s="6">
        <v>7000</v>
      </c>
      <c r="L139" s="6">
        <v>48000</v>
      </c>
      <c r="M139" s="6">
        <v>28000</v>
      </c>
      <c r="N139" s="6">
        <v>20000</v>
      </c>
      <c r="O139" s="1" t="s">
        <v>40</v>
      </c>
      <c r="P139" t="str">
        <f t="shared" si="2"/>
        <v>Nov</v>
      </c>
    </row>
    <row r="140" spans="1:16">
      <c r="A140" s="3" t="s">
        <v>348</v>
      </c>
      <c r="B140" s="1" t="s">
        <v>349</v>
      </c>
      <c r="C140" s="1" t="s">
        <v>178</v>
      </c>
      <c r="D140" s="1" t="s">
        <v>283</v>
      </c>
      <c r="E140" s="1" t="s">
        <v>80</v>
      </c>
      <c r="F140" s="1" t="s">
        <v>62</v>
      </c>
      <c r="G140" s="1" t="s">
        <v>75</v>
      </c>
      <c r="H140" s="1" t="s">
        <v>39</v>
      </c>
      <c r="I140" s="1">
        <v>9</v>
      </c>
      <c r="J140" s="6">
        <v>320000</v>
      </c>
      <c r="K140" s="6">
        <v>250000</v>
      </c>
      <c r="L140" s="6">
        <v>2880000</v>
      </c>
      <c r="M140" s="6">
        <v>2250000</v>
      </c>
      <c r="N140" s="6">
        <v>630000</v>
      </c>
      <c r="O140" s="1" t="s">
        <v>40</v>
      </c>
      <c r="P140" t="str">
        <f t="shared" si="2"/>
        <v>Nov</v>
      </c>
    </row>
    <row r="141" spans="1:16">
      <c r="A141" s="3" t="s">
        <v>350</v>
      </c>
      <c r="B141" s="1" t="s">
        <v>351</v>
      </c>
      <c r="C141" s="1" t="s">
        <v>222</v>
      </c>
      <c r="D141" s="1" t="s">
        <v>186</v>
      </c>
      <c r="E141" s="1" t="s">
        <v>80</v>
      </c>
      <c r="F141" s="1" t="s">
        <v>95</v>
      </c>
      <c r="G141" s="1" t="s">
        <v>22</v>
      </c>
      <c r="H141" s="1" t="s">
        <v>23</v>
      </c>
      <c r="I141" s="1">
        <v>5</v>
      </c>
      <c r="J141" s="6">
        <v>18000</v>
      </c>
      <c r="K141" s="6">
        <v>12000</v>
      </c>
      <c r="L141" s="6">
        <v>90000</v>
      </c>
      <c r="M141" s="6">
        <v>60000</v>
      </c>
      <c r="N141" s="6">
        <v>30000</v>
      </c>
      <c r="O141" s="1" t="s">
        <v>24</v>
      </c>
      <c r="P141" t="str">
        <f t="shared" si="2"/>
        <v>Sep</v>
      </c>
    </row>
    <row r="142" spans="1:16">
      <c r="A142" s="3">
        <v>46282</v>
      </c>
      <c r="B142" s="1" t="s">
        <v>352</v>
      </c>
      <c r="C142" s="1" t="s">
        <v>64</v>
      </c>
      <c r="D142" s="1" t="s">
        <v>140</v>
      </c>
      <c r="E142" s="1" t="s">
        <v>53</v>
      </c>
      <c r="F142" s="1" t="s">
        <v>147</v>
      </c>
      <c r="G142" s="1" t="s">
        <v>82</v>
      </c>
      <c r="H142" s="1" t="s">
        <v>31</v>
      </c>
      <c r="I142" s="1">
        <v>13</v>
      </c>
      <c r="J142" s="6">
        <v>6000</v>
      </c>
      <c r="K142" s="6">
        <v>3500</v>
      </c>
      <c r="L142" s="6">
        <v>78000</v>
      </c>
      <c r="M142" s="6">
        <v>45500</v>
      </c>
      <c r="N142" s="6">
        <v>32500</v>
      </c>
      <c r="O142" s="1" t="s">
        <v>24</v>
      </c>
      <c r="P142" t="str">
        <f t="shared" si="2"/>
        <v>Sep</v>
      </c>
    </row>
    <row r="143" spans="1:16">
      <c r="A143" s="3" t="s">
        <v>353</v>
      </c>
      <c r="B143" s="1" t="s">
        <v>354</v>
      </c>
      <c r="C143" s="1" t="s">
        <v>85</v>
      </c>
      <c r="D143" s="1" t="s">
        <v>355</v>
      </c>
      <c r="E143" s="1" t="s">
        <v>44</v>
      </c>
      <c r="F143" s="1" t="s">
        <v>87</v>
      </c>
      <c r="G143" s="1" t="s">
        <v>30</v>
      </c>
      <c r="H143" s="1" t="s">
        <v>31</v>
      </c>
      <c r="I143" s="1">
        <v>8</v>
      </c>
      <c r="J143" s="6">
        <v>12000</v>
      </c>
      <c r="K143" s="6">
        <v>7000</v>
      </c>
      <c r="L143" s="6">
        <v>96000</v>
      </c>
      <c r="M143" s="6">
        <v>56000</v>
      </c>
      <c r="N143" s="6">
        <v>40000</v>
      </c>
      <c r="O143" s="1" t="s">
        <v>40</v>
      </c>
      <c r="P143" t="str">
        <f t="shared" si="2"/>
        <v>Dec</v>
      </c>
    </row>
    <row r="144" spans="1:16">
      <c r="A144" s="3">
        <v>46069</v>
      </c>
      <c r="B144" s="1" t="s">
        <v>356</v>
      </c>
      <c r="C144" s="1" t="s">
        <v>85</v>
      </c>
      <c r="D144" s="1" t="s">
        <v>357</v>
      </c>
      <c r="E144" s="1" t="s">
        <v>44</v>
      </c>
      <c r="F144" s="1" t="s">
        <v>105</v>
      </c>
      <c r="G144" s="1" t="s">
        <v>175</v>
      </c>
      <c r="H144" s="1" t="s">
        <v>31</v>
      </c>
      <c r="I144" s="1">
        <v>1</v>
      </c>
      <c r="J144" s="6">
        <v>25000</v>
      </c>
      <c r="K144" s="6">
        <v>18000</v>
      </c>
      <c r="L144" s="6">
        <v>25000</v>
      </c>
      <c r="M144" s="6">
        <v>18000</v>
      </c>
      <c r="N144" s="6">
        <v>7000</v>
      </c>
      <c r="O144" s="1" t="s">
        <v>48</v>
      </c>
      <c r="P144" t="str">
        <f t="shared" si="2"/>
        <v>Feb</v>
      </c>
    </row>
    <row r="145" spans="1:16">
      <c r="A145" s="3">
        <v>46221</v>
      </c>
      <c r="B145" s="1" t="s">
        <v>358</v>
      </c>
      <c r="C145" s="1" t="s">
        <v>85</v>
      </c>
      <c r="D145" s="1" t="s">
        <v>35</v>
      </c>
      <c r="E145" s="1" t="s">
        <v>53</v>
      </c>
      <c r="F145" s="1" t="s">
        <v>54</v>
      </c>
      <c r="G145" s="1" t="s">
        <v>70</v>
      </c>
      <c r="H145" s="1" t="s">
        <v>23</v>
      </c>
      <c r="I145" s="1">
        <v>15</v>
      </c>
      <c r="J145" s="6">
        <v>55000</v>
      </c>
      <c r="K145" s="6">
        <v>42000</v>
      </c>
      <c r="L145" s="6">
        <v>825000</v>
      </c>
      <c r="M145" s="6">
        <v>630000</v>
      </c>
      <c r="N145" s="6">
        <v>195000</v>
      </c>
      <c r="O145" s="1" t="s">
        <v>40</v>
      </c>
      <c r="P145" t="str">
        <f t="shared" si="2"/>
        <v>Jul</v>
      </c>
    </row>
    <row r="146" spans="1:16">
      <c r="A146" s="3">
        <v>46115</v>
      </c>
      <c r="B146" s="1" t="s">
        <v>359</v>
      </c>
      <c r="C146" s="1" t="s">
        <v>217</v>
      </c>
      <c r="D146" s="1" t="s">
        <v>223</v>
      </c>
      <c r="E146" s="1" t="s">
        <v>44</v>
      </c>
      <c r="F146" s="1" t="s">
        <v>105</v>
      </c>
      <c r="G146" s="1" t="s">
        <v>30</v>
      </c>
      <c r="H146" s="1" t="s">
        <v>31</v>
      </c>
      <c r="I146" s="1">
        <v>13</v>
      </c>
      <c r="J146" s="6">
        <v>12000</v>
      </c>
      <c r="K146" s="6">
        <v>7000</v>
      </c>
      <c r="L146" s="6">
        <v>156000</v>
      </c>
      <c r="M146" s="6">
        <v>91000</v>
      </c>
      <c r="N146" s="6">
        <v>65000</v>
      </c>
      <c r="O146" s="1" t="s">
        <v>48</v>
      </c>
      <c r="P146" t="str">
        <f t="shared" si="2"/>
        <v>Apr</v>
      </c>
    </row>
    <row r="147" spans="1:16">
      <c r="A147" s="3" t="s">
        <v>360</v>
      </c>
      <c r="B147" s="1" t="s">
        <v>361</v>
      </c>
      <c r="C147" s="1" t="s">
        <v>116</v>
      </c>
      <c r="D147" s="1" t="s">
        <v>336</v>
      </c>
      <c r="E147" s="1" t="s">
        <v>44</v>
      </c>
      <c r="F147" s="1" t="s">
        <v>100</v>
      </c>
      <c r="G147" s="1" t="s">
        <v>82</v>
      </c>
      <c r="H147" s="1" t="s">
        <v>31</v>
      </c>
      <c r="I147" s="1">
        <v>9</v>
      </c>
      <c r="J147" s="6">
        <v>6000</v>
      </c>
      <c r="K147" s="6">
        <v>3500</v>
      </c>
      <c r="L147" s="6">
        <v>54000</v>
      </c>
      <c r="M147" s="6">
        <v>31500</v>
      </c>
      <c r="N147" s="6">
        <v>22500</v>
      </c>
      <c r="O147" s="1" t="s">
        <v>40</v>
      </c>
      <c r="P147" t="str">
        <f t="shared" si="2"/>
        <v>Jun</v>
      </c>
    </row>
    <row r="148" spans="1:16">
      <c r="A148" s="3">
        <v>46182</v>
      </c>
      <c r="B148" s="1" t="s">
        <v>362</v>
      </c>
      <c r="C148" s="1" t="s">
        <v>363</v>
      </c>
      <c r="D148" s="1" t="s">
        <v>364</v>
      </c>
      <c r="E148" s="1" t="s">
        <v>44</v>
      </c>
      <c r="F148" s="1" t="s">
        <v>100</v>
      </c>
      <c r="G148" s="1" t="s">
        <v>101</v>
      </c>
      <c r="H148" s="1" t="s">
        <v>23</v>
      </c>
      <c r="I148" s="1">
        <v>11</v>
      </c>
      <c r="J148" s="6">
        <v>14000</v>
      </c>
      <c r="K148" s="6">
        <v>9500</v>
      </c>
      <c r="L148" s="6">
        <v>154000</v>
      </c>
      <c r="M148" s="6">
        <v>104500</v>
      </c>
      <c r="N148" s="6">
        <v>49500</v>
      </c>
      <c r="O148" s="1" t="s">
        <v>40</v>
      </c>
      <c r="P148" t="str">
        <f t="shared" si="2"/>
        <v>Jun</v>
      </c>
    </row>
    <row r="149" spans="1:16">
      <c r="A149" s="3">
        <v>46269</v>
      </c>
      <c r="B149" s="1" t="s">
        <v>365</v>
      </c>
      <c r="C149" s="1" t="s">
        <v>295</v>
      </c>
      <c r="D149" s="1" t="s">
        <v>243</v>
      </c>
      <c r="E149" s="1" t="s">
        <v>20</v>
      </c>
      <c r="F149" s="1" t="s">
        <v>100</v>
      </c>
      <c r="G149" s="1" t="s">
        <v>38</v>
      </c>
      <c r="H149" s="1" t="s">
        <v>39</v>
      </c>
      <c r="I149" s="1">
        <v>2</v>
      </c>
      <c r="J149" s="6">
        <v>180000</v>
      </c>
      <c r="K149" s="6">
        <v>140000</v>
      </c>
      <c r="L149" s="6">
        <v>360000</v>
      </c>
      <c r="M149" s="6">
        <v>280000</v>
      </c>
      <c r="N149" s="6">
        <v>80000</v>
      </c>
      <c r="O149" s="1" t="s">
        <v>24</v>
      </c>
      <c r="P149" t="str">
        <f t="shared" si="2"/>
        <v>Sep</v>
      </c>
    </row>
    <row r="150" spans="1:16">
      <c r="A150" s="3" t="s">
        <v>183</v>
      </c>
      <c r="B150" s="1" t="s">
        <v>366</v>
      </c>
      <c r="C150" s="1" t="s">
        <v>325</v>
      </c>
      <c r="D150" s="1" t="s">
        <v>19</v>
      </c>
      <c r="E150" s="1" t="s">
        <v>44</v>
      </c>
      <c r="F150" s="1" t="s">
        <v>29</v>
      </c>
      <c r="G150" s="1" t="s">
        <v>70</v>
      </c>
      <c r="H150" s="1" t="s">
        <v>23</v>
      </c>
      <c r="I150" s="1">
        <v>9</v>
      </c>
      <c r="J150" s="6">
        <v>55000</v>
      </c>
      <c r="K150" s="6">
        <v>42000</v>
      </c>
      <c r="L150" s="6">
        <v>495000</v>
      </c>
      <c r="M150" s="6">
        <v>378000</v>
      </c>
      <c r="N150" s="6">
        <v>117000</v>
      </c>
      <c r="O150" s="1" t="s">
        <v>24</v>
      </c>
      <c r="P150" t="str">
        <f t="shared" si="2"/>
        <v>Feb</v>
      </c>
    </row>
    <row r="151" spans="1:16">
      <c r="A151" s="3">
        <v>46175</v>
      </c>
      <c r="B151" s="1" t="s">
        <v>367</v>
      </c>
      <c r="C151" s="1" t="s">
        <v>51</v>
      </c>
      <c r="D151" s="1" t="s">
        <v>332</v>
      </c>
      <c r="E151" s="1" t="s">
        <v>20</v>
      </c>
      <c r="F151" s="1" t="s">
        <v>147</v>
      </c>
      <c r="G151" s="1" t="s">
        <v>46</v>
      </c>
      <c r="H151" s="1" t="s">
        <v>47</v>
      </c>
      <c r="I151" s="1">
        <v>6</v>
      </c>
      <c r="J151" s="6">
        <v>65000</v>
      </c>
      <c r="K151" s="6">
        <v>50000</v>
      </c>
      <c r="L151" s="6">
        <v>390000</v>
      </c>
      <c r="M151" s="6">
        <v>300000</v>
      </c>
      <c r="N151" s="6">
        <v>90000</v>
      </c>
      <c r="O151" s="1" t="s">
        <v>40</v>
      </c>
      <c r="P151" t="str">
        <f t="shared" si="2"/>
        <v>Jun</v>
      </c>
    </row>
    <row r="152" spans="1:16">
      <c r="A152" s="3" t="s">
        <v>25</v>
      </c>
      <c r="B152" s="1" t="s">
        <v>368</v>
      </c>
      <c r="C152" s="1" t="s">
        <v>325</v>
      </c>
      <c r="D152" s="1" t="s">
        <v>369</v>
      </c>
      <c r="E152" s="1" t="s">
        <v>36</v>
      </c>
      <c r="F152" s="1" t="s">
        <v>81</v>
      </c>
      <c r="G152" s="1" t="s">
        <v>75</v>
      </c>
      <c r="H152" s="1" t="s">
        <v>39</v>
      </c>
      <c r="I152" s="1">
        <v>5</v>
      </c>
      <c r="J152" s="6">
        <v>320000</v>
      </c>
      <c r="K152" s="6">
        <v>250000</v>
      </c>
      <c r="L152" s="6">
        <v>1600000</v>
      </c>
      <c r="M152" s="6">
        <v>1250000</v>
      </c>
      <c r="N152" s="6">
        <v>350000</v>
      </c>
      <c r="O152" s="1" t="s">
        <v>24</v>
      </c>
      <c r="P152" t="str">
        <f t="shared" si="2"/>
        <v>Oct</v>
      </c>
    </row>
    <row r="153" spans="1:16">
      <c r="A153" s="3">
        <v>46115</v>
      </c>
      <c r="B153" s="1" t="s">
        <v>370</v>
      </c>
      <c r="C153" s="1" t="s">
        <v>155</v>
      </c>
      <c r="D153" s="1" t="s">
        <v>298</v>
      </c>
      <c r="E153" s="1" t="s">
        <v>20</v>
      </c>
      <c r="F153" s="1" t="s">
        <v>29</v>
      </c>
      <c r="G153" s="1" t="s">
        <v>118</v>
      </c>
      <c r="H153" s="1" t="s">
        <v>39</v>
      </c>
      <c r="I153" s="1">
        <v>7</v>
      </c>
      <c r="J153" s="6">
        <v>25000</v>
      </c>
      <c r="K153" s="6">
        <v>15000</v>
      </c>
      <c r="L153" s="6">
        <v>175000</v>
      </c>
      <c r="M153" s="6">
        <v>105000</v>
      </c>
      <c r="N153" s="6">
        <v>70000</v>
      </c>
      <c r="O153" s="1" t="s">
        <v>48</v>
      </c>
      <c r="P153" t="str">
        <f t="shared" si="2"/>
        <v>Apr</v>
      </c>
    </row>
    <row r="154" spans="1:16">
      <c r="A154" s="3" t="s">
        <v>371</v>
      </c>
      <c r="B154" s="1" t="s">
        <v>372</v>
      </c>
      <c r="C154" s="1" t="s">
        <v>373</v>
      </c>
      <c r="D154" s="1" t="s">
        <v>239</v>
      </c>
      <c r="E154" s="1" t="s">
        <v>121</v>
      </c>
      <c r="F154" s="1" t="s">
        <v>114</v>
      </c>
      <c r="G154" s="1" t="s">
        <v>151</v>
      </c>
      <c r="H154" s="1" t="s">
        <v>47</v>
      </c>
      <c r="I154" s="1">
        <v>12</v>
      </c>
      <c r="J154" s="6">
        <v>28000</v>
      </c>
      <c r="K154" s="6">
        <v>21000</v>
      </c>
      <c r="L154" s="6">
        <v>336000</v>
      </c>
      <c r="M154" s="6">
        <v>252000</v>
      </c>
      <c r="N154" s="6">
        <v>84000</v>
      </c>
      <c r="O154" s="1" t="s">
        <v>24</v>
      </c>
      <c r="P154" t="str">
        <f t="shared" si="2"/>
        <v>Jun</v>
      </c>
    </row>
    <row r="155" spans="1:16">
      <c r="A155" s="3" t="s">
        <v>305</v>
      </c>
      <c r="B155" s="1" t="s">
        <v>374</v>
      </c>
      <c r="C155" s="1" t="s">
        <v>155</v>
      </c>
      <c r="D155" s="1" t="s">
        <v>123</v>
      </c>
      <c r="E155" s="1" t="s">
        <v>20</v>
      </c>
      <c r="F155" s="1" t="s">
        <v>87</v>
      </c>
      <c r="G155" s="1" t="s">
        <v>38</v>
      </c>
      <c r="H155" s="1" t="s">
        <v>39</v>
      </c>
      <c r="I155" s="1">
        <v>13</v>
      </c>
      <c r="J155" s="6">
        <v>180000</v>
      </c>
      <c r="K155" s="6">
        <v>140000</v>
      </c>
      <c r="L155" s="6">
        <v>2340000</v>
      </c>
      <c r="M155" s="6">
        <v>1820000</v>
      </c>
      <c r="N155" s="6">
        <v>520000</v>
      </c>
      <c r="O155" s="1" t="s">
        <v>24</v>
      </c>
      <c r="P155" t="str">
        <f t="shared" si="2"/>
        <v>May</v>
      </c>
    </row>
    <row r="156" spans="1:16">
      <c r="A156" s="3">
        <v>46177</v>
      </c>
      <c r="B156" s="1" t="s">
        <v>375</v>
      </c>
      <c r="C156" s="1" t="s">
        <v>238</v>
      </c>
      <c r="D156" s="1" t="s">
        <v>319</v>
      </c>
      <c r="E156" s="1" t="s">
        <v>20</v>
      </c>
      <c r="F156" s="1" t="s">
        <v>95</v>
      </c>
      <c r="G156" s="1" t="s">
        <v>82</v>
      </c>
      <c r="H156" s="1" t="s">
        <v>31</v>
      </c>
      <c r="I156" s="1">
        <v>9</v>
      </c>
      <c r="J156" s="6">
        <v>6000</v>
      </c>
      <c r="K156" s="6">
        <v>3500</v>
      </c>
      <c r="L156" s="6">
        <v>54000</v>
      </c>
      <c r="M156" s="6">
        <v>31500</v>
      </c>
      <c r="N156" s="6">
        <v>22500</v>
      </c>
      <c r="O156" s="1" t="s">
        <v>48</v>
      </c>
      <c r="P156" t="str">
        <f t="shared" si="2"/>
        <v>Jun</v>
      </c>
    </row>
    <row r="157" spans="1:16">
      <c r="A157" s="3" t="s">
        <v>269</v>
      </c>
      <c r="B157" s="1" t="s">
        <v>376</v>
      </c>
      <c r="C157" s="1" t="s">
        <v>275</v>
      </c>
      <c r="D157" s="1" t="s">
        <v>250</v>
      </c>
      <c r="E157" s="1" t="s">
        <v>80</v>
      </c>
      <c r="F157" s="1" t="s">
        <v>135</v>
      </c>
      <c r="G157" s="1" t="s">
        <v>151</v>
      </c>
      <c r="H157" s="1" t="s">
        <v>47</v>
      </c>
      <c r="I157" s="1">
        <v>15</v>
      </c>
      <c r="J157" s="6">
        <v>28000</v>
      </c>
      <c r="K157" s="6">
        <v>21000</v>
      </c>
      <c r="L157" s="6">
        <v>420000</v>
      </c>
      <c r="M157" s="6">
        <v>315000</v>
      </c>
      <c r="N157" s="6">
        <v>105000</v>
      </c>
      <c r="O157" s="1" t="s">
        <v>48</v>
      </c>
      <c r="P157" t="str">
        <f t="shared" si="2"/>
        <v>Jan</v>
      </c>
    </row>
    <row r="158" spans="1:16">
      <c r="A158" s="3">
        <v>46359</v>
      </c>
      <c r="B158" s="1" t="s">
        <v>377</v>
      </c>
      <c r="C158" s="1" t="s">
        <v>300</v>
      </c>
      <c r="D158" s="1" t="s">
        <v>319</v>
      </c>
      <c r="E158" s="1" t="s">
        <v>20</v>
      </c>
      <c r="F158" s="1" t="s">
        <v>69</v>
      </c>
      <c r="G158" s="1" t="s">
        <v>38</v>
      </c>
      <c r="H158" s="1" t="s">
        <v>39</v>
      </c>
      <c r="I158" s="1">
        <v>2</v>
      </c>
      <c r="J158" s="6">
        <v>180000</v>
      </c>
      <c r="K158" s="6">
        <v>140000</v>
      </c>
      <c r="L158" s="6">
        <v>360000</v>
      </c>
      <c r="M158" s="6">
        <v>280000</v>
      </c>
      <c r="N158" s="6">
        <v>80000</v>
      </c>
      <c r="O158" s="1" t="s">
        <v>48</v>
      </c>
      <c r="P158" t="str">
        <f t="shared" si="2"/>
        <v>Dec</v>
      </c>
    </row>
    <row r="159" spans="1:16">
      <c r="A159" s="3">
        <v>46115</v>
      </c>
      <c r="B159" s="1" t="s">
        <v>378</v>
      </c>
      <c r="C159" s="1" t="s">
        <v>120</v>
      </c>
      <c r="D159" s="1" t="s">
        <v>174</v>
      </c>
      <c r="E159" s="1" t="s">
        <v>44</v>
      </c>
      <c r="F159" s="1" t="s">
        <v>147</v>
      </c>
      <c r="G159" s="1" t="s">
        <v>46</v>
      </c>
      <c r="H159" s="1" t="s">
        <v>47</v>
      </c>
      <c r="I159" s="1">
        <v>7</v>
      </c>
      <c r="J159" s="6">
        <v>65000</v>
      </c>
      <c r="K159" s="6">
        <v>50000</v>
      </c>
      <c r="L159" s="6">
        <v>455000</v>
      </c>
      <c r="M159" s="6">
        <v>350000</v>
      </c>
      <c r="N159" s="6">
        <v>105000</v>
      </c>
      <c r="O159" s="1" t="s">
        <v>40</v>
      </c>
      <c r="P159" t="str">
        <f t="shared" si="2"/>
        <v>Apr</v>
      </c>
    </row>
    <row r="160" spans="1:16">
      <c r="A160" s="3">
        <v>46085</v>
      </c>
      <c r="B160" s="1" t="s">
        <v>379</v>
      </c>
      <c r="C160" s="1" t="s">
        <v>380</v>
      </c>
      <c r="D160" s="1" t="s">
        <v>250</v>
      </c>
      <c r="E160" s="1" t="s">
        <v>121</v>
      </c>
      <c r="F160" s="1" t="s">
        <v>100</v>
      </c>
      <c r="G160" s="1" t="s">
        <v>75</v>
      </c>
      <c r="H160" s="1" t="s">
        <v>39</v>
      </c>
      <c r="I160" s="1">
        <v>5</v>
      </c>
      <c r="J160" s="6">
        <v>320000</v>
      </c>
      <c r="K160" s="6">
        <v>250000</v>
      </c>
      <c r="L160" s="6">
        <v>1600000</v>
      </c>
      <c r="M160" s="6">
        <v>1250000</v>
      </c>
      <c r="N160" s="6">
        <v>350000</v>
      </c>
      <c r="O160" s="1" t="s">
        <v>24</v>
      </c>
      <c r="P160" t="str">
        <f t="shared" si="2"/>
        <v>Mar</v>
      </c>
    </row>
    <row r="161" spans="1:16">
      <c r="A161" s="3">
        <v>46273</v>
      </c>
      <c r="B161" s="1" t="s">
        <v>381</v>
      </c>
      <c r="C161" s="1" t="s">
        <v>325</v>
      </c>
      <c r="D161" s="1" t="s">
        <v>156</v>
      </c>
      <c r="E161" s="1" t="s">
        <v>20</v>
      </c>
      <c r="F161" s="1" t="s">
        <v>45</v>
      </c>
      <c r="G161" s="1" t="s">
        <v>22</v>
      </c>
      <c r="H161" s="1" t="s">
        <v>23</v>
      </c>
      <c r="I161" s="1">
        <v>1</v>
      </c>
      <c r="J161" s="6">
        <v>18000</v>
      </c>
      <c r="K161" s="6">
        <v>12000</v>
      </c>
      <c r="L161" s="6">
        <v>18000</v>
      </c>
      <c r="M161" s="6">
        <v>12000</v>
      </c>
      <c r="N161" s="6">
        <v>6000</v>
      </c>
      <c r="O161" s="1" t="s">
        <v>24</v>
      </c>
      <c r="P161" t="str">
        <f t="shared" si="2"/>
        <v>Sep</v>
      </c>
    </row>
    <row r="162" spans="1:16">
      <c r="A162" s="3">
        <v>46054</v>
      </c>
      <c r="B162" s="1" t="s">
        <v>382</v>
      </c>
      <c r="C162" s="1" t="s">
        <v>42</v>
      </c>
      <c r="D162" s="1" t="s">
        <v>52</v>
      </c>
      <c r="E162" s="1" t="s">
        <v>20</v>
      </c>
      <c r="F162" s="1" t="s">
        <v>45</v>
      </c>
      <c r="G162" s="1" t="s">
        <v>46</v>
      </c>
      <c r="H162" s="1" t="s">
        <v>47</v>
      </c>
      <c r="I162" s="1">
        <v>5</v>
      </c>
      <c r="J162" s="6">
        <v>65000</v>
      </c>
      <c r="K162" s="6">
        <v>50000</v>
      </c>
      <c r="L162" s="6">
        <v>325000</v>
      </c>
      <c r="M162" s="6">
        <v>250000</v>
      </c>
      <c r="N162" s="6">
        <v>75000</v>
      </c>
      <c r="O162" s="1" t="s">
        <v>24</v>
      </c>
      <c r="P162" t="str">
        <f t="shared" si="2"/>
        <v>Feb</v>
      </c>
    </row>
    <row r="163" spans="1:16">
      <c r="A163" s="3">
        <v>46207</v>
      </c>
      <c r="B163" s="1" t="s">
        <v>383</v>
      </c>
      <c r="C163" s="1" t="s">
        <v>342</v>
      </c>
      <c r="D163" s="1" t="s">
        <v>156</v>
      </c>
      <c r="E163" s="1" t="s">
        <v>80</v>
      </c>
      <c r="F163" s="1" t="s">
        <v>90</v>
      </c>
      <c r="G163" s="1" t="s">
        <v>82</v>
      </c>
      <c r="H163" s="1" t="s">
        <v>31</v>
      </c>
      <c r="I163" s="1">
        <v>9</v>
      </c>
      <c r="J163" s="6">
        <v>6000</v>
      </c>
      <c r="K163" s="6">
        <v>3500</v>
      </c>
      <c r="L163" s="6">
        <v>54000</v>
      </c>
      <c r="M163" s="6">
        <v>31500</v>
      </c>
      <c r="N163" s="6">
        <v>22500</v>
      </c>
      <c r="O163" s="1" t="s">
        <v>48</v>
      </c>
      <c r="P163" t="str">
        <f t="shared" si="2"/>
        <v>Jul</v>
      </c>
    </row>
    <row r="164" spans="1:16">
      <c r="A164" s="3">
        <v>46207</v>
      </c>
      <c r="B164" s="1" t="s">
        <v>384</v>
      </c>
      <c r="C164" s="1" t="s">
        <v>286</v>
      </c>
      <c r="D164" s="1" t="s">
        <v>99</v>
      </c>
      <c r="E164" s="1" t="s">
        <v>53</v>
      </c>
      <c r="F164" s="1" t="s">
        <v>114</v>
      </c>
      <c r="G164" s="1" t="s">
        <v>46</v>
      </c>
      <c r="H164" s="1" t="s">
        <v>47</v>
      </c>
      <c r="I164" s="1">
        <v>10</v>
      </c>
      <c r="J164" s="6">
        <v>65000</v>
      </c>
      <c r="K164" s="6">
        <v>50000</v>
      </c>
      <c r="L164" s="6">
        <v>650000</v>
      </c>
      <c r="M164" s="6">
        <v>500000</v>
      </c>
      <c r="N164" s="6">
        <v>150000</v>
      </c>
      <c r="O164" s="1" t="s">
        <v>40</v>
      </c>
      <c r="P164" t="str">
        <f t="shared" si="2"/>
        <v>Jul</v>
      </c>
    </row>
    <row r="165" spans="1:16">
      <c r="A165" s="3" t="s">
        <v>385</v>
      </c>
      <c r="B165" s="1" t="s">
        <v>386</v>
      </c>
      <c r="C165" s="1" t="s">
        <v>387</v>
      </c>
      <c r="D165" s="1" t="s">
        <v>164</v>
      </c>
      <c r="E165" s="1" t="s">
        <v>53</v>
      </c>
      <c r="F165" s="1" t="s">
        <v>110</v>
      </c>
      <c r="G165" s="1" t="s">
        <v>70</v>
      </c>
      <c r="H165" s="1" t="s">
        <v>23</v>
      </c>
      <c r="I165" s="1">
        <v>14</v>
      </c>
      <c r="J165" s="6">
        <v>55000</v>
      </c>
      <c r="K165" s="6">
        <v>42000</v>
      </c>
      <c r="L165" s="6">
        <v>770000</v>
      </c>
      <c r="M165" s="6">
        <v>588000</v>
      </c>
      <c r="N165" s="6">
        <v>182000</v>
      </c>
      <c r="O165" s="1" t="s">
        <v>40</v>
      </c>
      <c r="P165" t="str">
        <f t="shared" si="2"/>
        <v>Oct</v>
      </c>
    </row>
    <row r="166" spans="1:16">
      <c r="A166" s="3">
        <v>46177</v>
      </c>
      <c r="B166" s="1" t="s">
        <v>388</v>
      </c>
      <c r="C166" s="1" t="s">
        <v>389</v>
      </c>
      <c r="D166" s="1" t="s">
        <v>298</v>
      </c>
      <c r="E166" s="1" t="s">
        <v>36</v>
      </c>
      <c r="F166" s="1" t="s">
        <v>59</v>
      </c>
      <c r="G166" s="1" t="s">
        <v>46</v>
      </c>
      <c r="H166" s="1" t="s">
        <v>47</v>
      </c>
      <c r="I166" s="1">
        <v>12</v>
      </c>
      <c r="J166" s="6">
        <v>65000</v>
      </c>
      <c r="K166" s="6">
        <v>50000</v>
      </c>
      <c r="L166" s="6">
        <v>780000</v>
      </c>
      <c r="M166" s="6">
        <v>600000</v>
      </c>
      <c r="N166" s="6">
        <v>180000</v>
      </c>
      <c r="O166" s="1" t="s">
        <v>40</v>
      </c>
      <c r="P166" t="str">
        <f t="shared" si="2"/>
        <v>Jun</v>
      </c>
    </row>
    <row r="167" spans="1:16">
      <c r="A167" s="3">
        <v>46151</v>
      </c>
      <c r="B167" s="1" t="s">
        <v>390</v>
      </c>
      <c r="C167" s="1" t="s">
        <v>391</v>
      </c>
      <c r="D167" s="1" t="s">
        <v>392</v>
      </c>
      <c r="E167" s="1" t="s">
        <v>53</v>
      </c>
      <c r="F167" s="1" t="s">
        <v>110</v>
      </c>
      <c r="G167" s="1" t="s">
        <v>151</v>
      </c>
      <c r="H167" s="1" t="s">
        <v>47</v>
      </c>
      <c r="I167" s="1">
        <v>3</v>
      </c>
      <c r="J167" s="6">
        <v>28000</v>
      </c>
      <c r="K167" s="6">
        <v>21000</v>
      </c>
      <c r="L167" s="6">
        <v>84000</v>
      </c>
      <c r="M167" s="6">
        <v>63000</v>
      </c>
      <c r="N167" s="6">
        <v>21000</v>
      </c>
      <c r="O167" s="1" t="s">
        <v>40</v>
      </c>
      <c r="P167" t="str">
        <f t="shared" si="2"/>
        <v>May</v>
      </c>
    </row>
    <row r="168" spans="1:16">
      <c r="A168" s="3" t="s">
        <v>224</v>
      </c>
      <c r="B168" s="1" t="s">
        <v>393</v>
      </c>
      <c r="C168" s="1" t="s">
        <v>189</v>
      </c>
      <c r="D168" s="1" t="s">
        <v>394</v>
      </c>
      <c r="E168" s="1" t="s">
        <v>20</v>
      </c>
      <c r="F168" s="1" t="s">
        <v>114</v>
      </c>
      <c r="G168" s="1" t="s">
        <v>30</v>
      </c>
      <c r="H168" s="1" t="s">
        <v>31</v>
      </c>
      <c r="I168" s="1">
        <v>5</v>
      </c>
      <c r="J168" s="6">
        <v>12000</v>
      </c>
      <c r="K168" s="6">
        <v>7000</v>
      </c>
      <c r="L168" s="6">
        <v>60000</v>
      </c>
      <c r="M168" s="6">
        <v>35000</v>
      </c>
      <c r="N168" s="6">
        <v>25000</v>
      </c>
      <c r="O168" s="1" t="s">
        <v>40</v>
      </c>
      <c r="P168" t="str">
        <f t="shared" si="2"/>
        <v>Nov</v>
      </c>
    </row>
    <row r="169" spans="1:16">
      <c r="A169" s="3">
        <v>46377</v>
      </c>
      <c r="B169" s="1" t="s">
        <v>395</v>
      </c>
      <c r="C169" s="1" t="s">
        <v>205</v>
      </c>
      <c r="D169" s="1" t="s">
        <v>79</v>
      </c>
      <c r="E169" s="1" t="s">
        <v>20</v>
      </c>
      <c r="F169" s="1" t="s">
        <v>45</v>
      </c>
      <c r="G169" s="1" t="s">
        <v>175</v>
      </c>
      <c r="H169" s="1" t="s">
        <v>31</v>
      </c>
      <c r="I169" s="1">
        <v>1</v>
      </c>
      <c r="J169" s="6">
        <v>25000</v>
      </c>
      <c r="K169" s="6">
        <v>18000</v>
      </c>
      <c r="L169" s="6">
        <v>25000</v>
      </c>
      <c r="M169" s="6">
        <v>18000</v>
      </c>
      <c r="N169" s="6">
        <v>7000</v>
      </c>
      <c r="O169" s="1" t="s">
        <v>48</v>
      </c>
      <c r="P169" t="str">
        <f t="shared" si="2"/>
        <v>Dec</v>
      </c>
    </row>
    <row r="170" spans="1:16">
      <c r="A170" s="3" t="s">
        <v>280</v>
      </c>
      <c r="B170" s="1" t="s">
        <v>396</v>
      </c>
      <c r="C170" s="1" t="s">
        <v>195</v>
      </c>
      <c r="D170" s="1" t="s">
        <v>68</v>
      </c>
      <c r="E170" s="1" t="s">
        <v>121</v>
      </c>
      <c r="F170" s="1" t="s">
        <v>59</v>
      </c>
      <c r="G170" s="1" t="s">
        <v>131</v>
      </c>
      <c r="H170" s="1" t="s">
        <v>47</v>
      </c>
      <c r="I170" s="1">
        <v>15</v>
      </c>
      <c r="J170" s="6">
        <v>45000</v>
      </c>
      <c r="K170" s="6">
        <v>32000</v>
      </c>
      <c r="L170" s="6">
        <v>675000</v>
      </c>
      <c r="M170" s="6">
        <v>480000</v>
      </c>
      <c r="N170" s="6">
        <v>195000</v>
      </c>
      <c r="O170" s="1" t="s">
        <v>48</v>
      </c>
      <c r="P170" t="str">
        <f t="shared" si="2"/>
        <v>Sep</v>
      </c>
    </row>
    <row r="171" spans="1:16">
      <c r="A171" s="3" t="s">
        <v>397</v>
      </c>
      <c r="B171" s="1" t="s">
        <v>398</v>
      </c>
      <c r="C171" s="1" t="s">
        <v>18</v>
      </c>
      <c r="D171" s="1" t="s">
        <v>130</v>
      </c>
      <c r="E171" s="1" t="s">
        <v>121</v>
      </c>
      <c r="F171" s="1" t="s">
        <v>81</v>
      </c>
      <c r="G171" s="1" t="s">
        <v>46</v>
      </c>
      <c r="H171" s="1" t="s">
        <v>47</v>
      </c>
      <c r="I171" s="1">
        <v>12</v>
      </c>
      <c r="J171" s="6">
        <v>65000</v>
      </c>
      <c r="K171" s="6">
        <v>50000</v>
      </c>
      <c r="L171" s="6">
        <v>780000</v>
      </c>
      <c r="M171" s="6">
        <v>600000</v>
      </c>
      <c r="N171" s="6">
        <v>180000</v>
      </c>
      <c r="O171" s="1" t="s">
        <v>48</v>
      </c>
      <c r="P171" t="str">
        <f t="shared" si="2"/>
        <v>Apr</v>
      </c>
    </row>
    <row r="172" spans="1:16">
      <c r="A172" s="3">
        <v>46083</v>
      </c>
      <c r="B172" s="1" t="s">
        <v>399</v>
      </c>
      <c r="C172" s="1" t="s">
        <v>61</v>
      </c>
      <c r="D172" s="1" t="s">
        <v>199</v>
      </c>
      <c r="E172" s="1" t="s">
        <v>44</v>
      </c>
      <c r="F172" s="1" t="s">
        <v>59</v>
      </c>
      <c r="G172" s="1" t="s">
        <v>22</v>
      </c>
      <c r="H172" s="1" t="s">
        <v>23</v>
      </c>
      <c r="I172" s="1">
        <v>6</v>
      </c>
      <c r="J172" s="6">
        <v>18000</v>
      </c>
      <c r="K172" s="6">
        <v>12000</v>
      </c>
      <c r="L172" s="6">
        <v>108000</v>
      </c>
      <c r="M172" s="6">
        <v>72000</v>
      </c>
      <c r="N172" s="6">
        <v>36000</v>
      </c>
      <c r="O172" s="1" t="s">
        <v>40</v>
      </c>
      <c r="P172" t="str">
        <f t="shared" si="2"/>
        <v>Mar</v>
      </c>
    </row>
    <row r="173" spans="1:16">
      <c r="A173" s="3">
        <v>46115</v>
      </c>
      <c r="B173" s="1" t="s">
        <v>400</v>
      </c>
      <c r="C173" s="1" t="s">
        <v>401</v>
      </c>
      <c r="D173" s="1" t="s">
        <v>355</v>
      </c>
      <c r="E173" s="1" t="s">
        <v>44</v>
      </c>
      <c r="F173" s="1" t="s">
        <v>69</v>
      </c>
      <c r="G173" s="1" t="s">
        <v>30</v>
      </c>
      <c r="H173" s="1" t="s">
        <v>31</v>
      </c>
      <c r="I173" s="1">
        <v>12</v>
      </c>
      <c r="J173" s="6">
        <v>12000</v>
      </c>
      <c r="K173" s="6">
        <v>7000</v>
      </c>
      <c r="L173" s="6">
        <v>144000</v>
      </c>
      <c r="M173" s="6">
        <v>84000</v>
      </c>
      <c r="N173" s="6">
        <v>60000</v>
      </c>
      <c r="O173" s="1" t="s">
        <v>40</v>
      </c>
      <c r="P173" t="str">
        <f t="shared" si="2"/>
        <v>Apr</v>
      </c>
    </row>
    <row r="174" spans="1:16">
      <c r="A174" s="3" t="s">
        <v>402</v>
      </c>
      <c r="B174" s="1" t="s">
        <v>403</v>
      </c>
      <c r="C174" s="1" t="s">
        <v>155</v>
      </c>
      <c r="D174" s="1" t="s">
        <v>369</v>
      </c>
      <c r="E174" s="1" t="s">
        <v>20</v>
      </c>
      <c r="F174" s="1" t="s">
        <v>147</v>
      </c>
      <c r="G174" s="1" t="s">
        <v>151</v>
      </c>
      <c r="H174" s="1" t="s">
        <v>47</v>
      </c>
      <c r="I174" s="1">
        <v>13</v>
      </c>
      <c r="J174" s="6">
        <v>28000</v>
      </c>
      <c r="K174" s="6">
        <v>21000</v>
      </c>
      <c r="L174" s="6">
        <v>364000</v>
      </c>
      <c r="M174" s="6">
        <v>273000</v>
      </c>
      <c r="N174" s="6">
        <v>91000</v>
      </c>
      <c r="O174" s="1" t="s">
        <v>24</v>
      </c>
      <c r="P174" t="str">
        <f t="shared" si="2"/>
        <v>Aug</v>
      </c>
    </row>
    <row r="175" spans="1:16">
      <c r="A175" s="3" t="s">
        <v>280</v>
      </c>
      <c r="B175" s="1" t="s">
        <v>404</v>
      </c>
      <c r="C175" s="1" t="s">
        <v>150</v>
      </c>
      <c r="D175" s="1" t="s">
        <v>250</v>
      </c>
      <c r="E175" s="1" t="s">
        <v>44</v>
      </c>
      <c r="F175" s="1" t="s">
        <v>59</v>
      </c>
      <c r="G175" s="1" t="s">
        <v>22</v>
      </c>
      <c r="H175" s="1" t="s">
        <v>23</v>
      </c>
      <c r="I175" s="1">
        <v>13</v>
      </c>
      <c r="J175" s="6">
        <v>18000</v>
      </c>
      <c r="K175" s="6">
        <v>12000</v>
      </c>
      <c r="L175" s="6">
        <v>234000</v>
      </c>
      <c r="M175" s="6">
        <v>156000</v>
      </c>
      <c r="N175" s="6">
        <v>78000</v>
      </c>
      <c r="O175" s="1" t="s">
        <v>48</v>
      </c>
      <c r="P175" t="str">
        <f t="shared" si="2"/>
        <v>Sep</v>
      </c>
    </row>
    <row r="176" spans="1:16">
      <c r="A176" s="3">
        <v>46090</v>
      </c>
      <c r="B176" s="1" t="s">
        <v>405</v>
      </c>
      <c r="C176" s="1" t="s">
        <v>34</v>
      </c>
      <c r="D176" s="1" t="s">
        <v>223</v>
      </c>
      <c r="E176" s="1" t="s">
        <v>20</v>
      </c>
      <c r="F176" s="1" t="s">
        <v>45</v>
      </c>
      <c r="G176" s="1" t="s">
        <v>131</v>
      </c>
      <c r="H176" s="1" t="s">
        <v>47</v>
      </c>
      <c r="I176" s="1">
        <v>13</v>
      </c>
      <c r="J176" s="6">
        <v>45000</v>
      </c>
      <c r="K176" s="6">
        <v>32000</v>
      </c>
      <c r="L176" s="6">
        <v>585000</v>
      </c>
      <c r="M176" s="6">
        <v>416000</v>
      </c>
      <c r="N176" s="6">
        <v>169000</v>
      </c>
      <c r="O176" s="1" t="s">
        <v>40</v>
      </c>
      <c r="P176" t="str">
        <f t="shared" si="2"/>
        <v>Mar</v>
      </c>
    </row>
    <row r="177" spans="1:16">
      <c r="A177" s="3">
        <v>46298</v>
      </c>
      <c r="B177" s="1" t="s">
        <v>406</v>
      </c>
      <c r="C177" s="1" t="s">
        <v>373</v>
      </c>
      <c r="D177" s="1" t="s">
        <v>113</v>
      </c>
      <c r="E177" s="1" t="s">
        <v>121</v>
      </c>
      <c r="F177" s="1" t="s">
        <v>100</v>
      </c>
      <c r="G177" s="1" t="s">
        <v>101</v>
      </c>
      <c r="H177" s="1" t="s">
        <v>23</v>
      </c>
      <c r="I177" s="1">
        <v>3</v>
      </c>
      <c r="J177" s="6">
        <v>14000</v>
      </c>
      <c r="K177" s="6">
        <v>9500</v>
      </c>
      <c r="L177" s="6">
        <v>42000</v>
      </c>
      <c r="M177" s="6">
        <v>28500</v>
      </c>
      <c r="N177" s="6">
        <v>13500</v>
      </c>
      <c r="O177" s="1" t="s">
        <v>40</v>
      </c>
      <c r="P177" t="str">
        <f t="shared" si="2"/>
        <v>Oct</v>
      </c>
    </row>
    <row r="178" spans="1:16">
      <c r="A178" s="3" t="s">
        <v>269</v>
      </c>
      <c r="B178" s="1" t="s">
        <v>407</v>
      </c>
      <c r="C178" s="1" t="s">
        <v>373</v>
      </c>
      <c r="D178" s="1" t="s">
        <v>186</v>
      </c>
      <c r="E178" s="1" t="s">
        <v>20</v>
      </c>
      <c r="F178" s="1" t="s">
        <v>105</v>
      </c>
      <c r="G178" s="1" t="s">
        <v>151</v>
      </c>
      <c r="H178" s="1" t="s">
        <v>47</v>
      </c>
      <c r="I178" s="1">
        <v>15</v>
      </c>
      <c r="J178" s="6">
        <v>28000</v>
      </c>
      <c r="K178" s="6">
        <v>21000</v>
      </c>
      <c r="L178" s="6">
        <v>420000</v>
      </c>
      <c r="M178" s="6">
        <v>315000</v>
      </c>
      <c r="N178" s="6">
        <v>105000</v>
      </c>
      <c r="O178" s="1" t="s">
        <v>48</v>
      </c>
      <c r="P178" t="str">
        <f t="shared" si="2"/>
        <v>Jan</v>
      </c>
    </row>
    <row r="179" spans="1:16">
      <c r="A179" s="3">
        <v>46386</v>
      </c>
      <c r="B179" s="1" t="s">
        <v>408</v>
      </c>
      <c r="C179" s="1" t="s">
        <v>18</v>
      </c>
      <c r="D179" s="1" t="s">
        <v>130</v>
      </c>
      <c r="E179" s="1" t="s">
        <v>53</v>
      </c>
      <c r="F179" s="1" t="s">
        <v>87</v>
      </c>
      <c r="G179" s="1" t="s">
        <v>101</v>
      </c>
      <c r="H179" s="1" t="s">
        <v>23</v>
      </c>
      <c r="I179" s="1">
        <v>14</v>
      </c>
      <c r="J179" s="6">
        <v>14000</v>
      </c>
      <c r="K179" s="6">
        <v>9500</v>
      </c>
      <c r="L179" s="6">
        <v>196000</v>
      </c>
      <c r="M179" s="6">
        <v>133000</v>
      </c>
      <c r="N179" s="6">
        <v>63000</v>
      </c>
      <c r="O179" s="1" t="s">
        <v>24</v>
      </c>
      <c r="P179" t="str">
        <f t="shared" si="2"/>
        <v>Dec</v>
      </c>
    </row>
    <row r="180" spans="1:16">
      <c r="A180" s="3">
        <v>46248</v>
      </c>
      <c r="B180" s="1" t="s">
        <v>409</v>
      </c>
      <c r="C180" s="1" t="s">
        <v>108</v>
      </c>
      <c r="D180" s="1" t="s">
        <v>314</v>
      </c>
      <c r="E180" s="1" t="s">
        <v>53</v>
      </c>
      <c r="F180" s="1" t="s">
        <v>37</v>
      </c>
      <c r="G180" s="1" t="s">
        <v>118</v>
      </c>
      <c r="H180" s="1" t="s">
        <v>39</v>
      </c>
      <c r="I180" s="1">
        <v>12</v>
      </c>
      <c r="J180" s="6">
        <v>25000</v>
      </c>
      <c r="K180" s="6">
        <v>15000</v>
      </c>
      <c r="L180" s="6">
        <v>300000</v>
      </c>
      <c r="M180" s="6">
        <v>180000</v>
      </c>
      <c r="N180" s="6">
        <v>120000</v>
      </c>
      <c r="O180" s="1" t="s">
        <v>24</v>
      </c>
      <c r="P180" t="str">
        <f t="shared" si="2"/>
        <v>Aug</v>
      </c>
    </row>
    <row r="181" spans="1:16">
      <c r="A181" s="3">
        <v>46164</v>
      </c>
      <c r="B181" s="1" t="s">
        <v>410</v>
      </c>
      <c r="C181" s="1" t="s">
        <v>411</v>
      </c>
      <c r="D181" s="1" t="s">
        <v>19</v>
      </c>
      <c r="E181" s="1" t="s">
        <v>44</v>
      </c>
      <c r="F181" s="1" t="s">
        <v>110</v>
      </c>
      <c r="G181" s="1" t="s">
        <v>75</v>
      </c>
      <c r="H181" s="1" t="s">
        <v>39</v>
      </c>
      <c r="I181" s="1">
        <v>13</v>
      </c>
      <c r="J181" s="6">
        <v>320000</v>
      </c>
      <c r="K181" s="6">
        <v>250000</v>
      </c>
      <c r="L181" s="6">
        <v>4160000</v>
      </c>
      <c r="M181" s="6">
        <v>3250000</v>
      </c>
      <c r="N181" s="6">
        <v>910000</v>
      </c>
      <c r="O181" s="1" t="s">
        <v>40</v>
      </c>
      <c r="P181" t="str">
        <f t="shared" si="2"/>
        <v>May</v>
      </c>
    </row>
    <row r="182" spans="1:16">
      <c r="A182" s="3">
        <v>46128</v>
      </c>
      <c r="B182" s="1" t="s">
        <v>412</v>
      </c>
      <c r="C182" s="1" t="s">
        <v>222</v>
      </c>
      <c r="D182" s="1" t="s">
        <v>243</v>
      </c>
      <c r="E182" s="1" t="s">
        <v>80</v>
      </c>
      <c r="F182" s="1" t="s">
        <v>81</v>
      </c>
      <c r="G182" s="1" t="s">
        <v>131</v>
      </c>
      <c r="H182" s="1" t="s">
        <v>47</v>
      </c>
      <c r="I182" s="1">
        <v>12</v>
      </c>
      <c r="J182" s="6">
        <v>45000</v>
      </c>
      <c r="K182" s="6">
        <v>32000</v>
      </c>
      <c r="L182" s="6">
        <v>540000</v>
      </c>
      <c r="M182" s="6">
        <v>384000</v>
      </c>
      <c r="N182" s="6">
        <v>156000</v>
      </c>
      <c r="O182" s="1" t="s">
        <v>24</v>
      </c>
      <c r="P182" t="str">
        <f t="shared" si="2"/>
        <v>Apr</v>
      </c>
    </row>
    <row r="183" spans="1:16">
      <c r="A183" s="3" t="s">
        <v>183</v>
      </c>
      <c r="B183" s="1" t="s">
        <v>413</v>
      </c>
      <c r="C183" s="1" t="s">
        <v>391</v>
      </c>
      <c r="D183" s="1" t="s">
        <v>243</v>
      </c>
      <c r="E183" s="1" t="s">
        <v>44</v>
      </c>
      <c r="F183" s="1" t="s">
        <v>29</v>
      </c>
      <c r="G183" s="1" t="s">
        <v>70</v>
      </c>
      <c r="H183" s="1" t="s">
        <v>23</v>
      </c>
      <c r="I183" s="1">
        <v>8</v>
      </c>
      <c r="J183" s="6">
        <v>55000</v>
      </c>
      <c r="K183" s="6">
        <v>42000</v>
      </c>
      <c r="L183" s="6">
        <v>440000</v>
      </c>
      <c r="M183" s="6">
        <v>336000</v>
      </c>
      <c r="N183" s="6">
        <v>104000</v>
      </c>
      <c r="O183" s="1" t="s">
        <v>24</v>
      </c>
      <c r="P183" t="str">
        <f t="shared" si="2"/>
        <v>Feb</v>
      </c>
    </row>
    <row r="184" spans="1:16">
      <c r="A184" s="3" t="s">
        <v>165</v>
      </c>
      <c r="B184" s="1" t="s">
        <v>414</v>
      </c>
      <c r="C184" s="1" t="s">
        <v>108</v>
      </c>
      <c r="D184" s="1" t="s">
        <v>415</v>
      </c>
      <c r="E184" s="1" t="s">
        <v>20</v>
      </c>
      <c r="F184" s="1" t="s">
        <v>135</v>
      </c>
      <c r="G184" s="1" t="s">
        <v>22</v>
      </c>
      <c r="H184" s="1" t="s">
        <v>23</v>
      </c>
      <c r="I184" s="1">
        <v>9</v>
      </c>
      <c r="J184" s="6">
        <v>18000</v>
      </c>
      <c r="K184" s="6">
        <v>12000</v>
      </c>
      <c r="L184" s="6">
        <v>162000</v>
      </c>
      <c r="M184" s="6">
        <v>108000</v>
      </c>
      <c r="N184" s="6">
        <v>54000</v>
      </c>
      <c r="O184" s="1" t="s">
        <v>24</v>
      </c>
      <c r="P184" t="str">
        <f t="shared" si="2"/>
        <v>Nov</v>
      </c>
    </row>
    <row r="185" spans="1:16">
      <c r="A185" s="3" t="s">
        <v>353</v>
      </c>
      <c r="B185" s="1" t="s">
        <v>416</v>
      </c>
      <c r="C185" s="1" t="s">
        <v>78</v>
      </c>
      <c r="D185" s="1" t="s">
        <v>19</v>
      </c>
      <c r="E185" s="1" t="s">
        <v>80</v>
      </c>
      <c r="F185" s="1" t="s">
        <v>135</v>
      </c>
      <c r="G185" s="1" t="s">
        <v>46</v>
      </c>
      <c r="H185" s="1" t="s">
        <v>47</v>
      </c>
      <c r="I185" s="1">
        <v>5</v>
      </c>
      <c r="J185" s="6">
        <v>65000</v>
      </c>
      <c r="K185" s="6">
        <v>50000</v>
      </c>
      <c r="L185" s="6">
        <v>325000</v>
      </c>
      <c r="M185" s="6">
        <v>250000</v>
      </c>
      <c r="N185" s="6">
        <v>75000</v>
      </c>
      <c r="O185" s="1" t="s">
        <v>40</v>
      </c>
      <c r="P185" t="str">
        <f t="shared" si="2"/>
        <v>Dec</v>
      </c>
    </row>
    <row r="186" spans="1:16">
      <c r="A186" s="3" t="s">
        <v>181</v>
      </c>
      <c r="B186" s="1" t="s">
        <v>417</v>
      </c>
      <c r="C186" s="1" t="s">
        <v>232</v>
      </c>
      <c r="D186" s="1" t="s">
        <v>298</v>
      </c>
      <c r="E186" s="1" t="s">
        <v>53</v>
      </c>
      <c r="F186" s="1" t="s">
        <v>90</v>
      </c>
      <c r="G186" s="1" t="s">
        <v>118</v>
      </c>
      <c r="H186" s="1" t="s">
        <v>39</v>
      </c>
      <c r="I186" s="1">
        <v>10</v>
      </c>
      <c r="J186" s="6">
        <v>25000</v>
      </c>
      <c r="K186" s="6">
        <v>15000</v>
      </c>
      <c r="L186" s="6">
        <v>250000</v>
      </c>
      <c r="M186" s="6">
        <v>150000</v>
      </c>
      <c r="N186" s="6">
        <v>100000</v>
      </c>
      <c r="O186" s="1" t="s">
        <v>24</v>
      </c>
      <c r="P186" t="str">
        <f t="shared" si="2"/>
        <v>Sep</v>
      </c>
    </row>
    <row r="187" spans="1:16">
      <c r="A187" s="3">
        <v>46189</v>
      </c>
      <c r="B187" s="1" t="s">
        <v>418</v>
      </c>
      <c r="C187" s="1" t="s">
        <v>300</v>
      </c>
      <c r="D187" s="1" t="s">
        <v>167</v>
      </c>
      <c r="E187" s="1" t="s">
        <v>44</v>
      </c>
      <c r="F187" s="1" t="s">
        <v>95</v>
      </c>
      <c r="G187" s="1" t="s">
        <v>22</v>
      </c>
      <c r="H187" s="1" t="s">
        <v>23</v>
      </c>
      <c r="I187" s="1">
        <v>11</v>
      </c>
      <c r="J187" s="6">
        <v>18000</v>
      </c>
      <c r="K187" s="6">
        <v>12000</v>
      </c>
      <c r="L187" s="6">
        <v>198000</v>
      </c>
      <c r="M187" s="6">
        <v>132000</v>
      </c>
      <c r="N187" s="6">
        <v>66000</v>
      </c>
      <c r="O187" s="1" t="s">
        <v>24</v>
      </c>
      <c r="P187" t="str">
        <f t="shared" si="2"/>
        <v>Jun</v>
      </c>
    </row>
    <row r="188" spans="1:16">
      <c r="A188" s="3">
        <v>46126</v>
      </c>
      <c r="B188" s="1" t="s">
        <v>419</v>
      </c>
      <c r="C188" s="1" t="s">
        <v>401</v>
      </c>
      <c r="D188" s="1" t="s">
        <v>58</v>
      </c>
      <c r="E188" s="1" t="s">
        <v>53</v>
      </c>
      <c r="F188" s="1" t="s">
        <v>105</v>
      </c>
      <c r="G188" s="1" t="s">
        <v>151</v>
      </c>
      <c r="H188" s="1" t="s">
        <v>47</v>
      </c>
      <c r="I188" s="1">
        <v>5</v>
      </c>
      <c r="J188" s="6">
        <v>28000</v>
      </c>
      <c r="K188" s="6">
        <v>21000</v>
      </c>
      <c r="L188" s="6">
        <v>140000</v>
      </c>
      <c r="M188" s="6">
        <v>105000</v>
      </c>
      <c r="N188" s="6">
        <v>35000</v>
      </c>
      <c r="O188" s="1" t="s">
        <v>48</v>
      </c>
      <c r="P188" t="str">
        <f t="shared" si="2"/>
        <v>Apr</v>
      </c>
    </row>
    <row r="189" spans="1:16">
      <c r="A189" s="3" t="s">
        <v>420</v>
      </c>
      <c r="B189" s="1" t="s">
        <v>421</v>
      </c>
      <c r="C189" s="1" t="s">
        <v>198</v>
      </c>
      <c r="D189" s="1" t="s">
        <v>415</v>
      </c>
      <c r="E189" s="1" t="s">
        <v>80</v>
      </c>
      <c r="F189" s="1" t="s">
        <v>69</v>
      </c>
      <c r="G189" s="1" t="s">
        <v>175</v>
      </c>
      <c r="H189" s="1" t="s">
        <v>31</v>
      </c>
      <c r="I189" s="1">
        <v>8</v>
      </c>
      <c r="J189" s="6">
        <v>25000</v>
      </c>
      <c r="K189" s="6">
        <v>18000</v>
      </c>
      <c r="L189" s="6">
        <v>200000</v>
      </c>
      <c r="M189" s="6">
        <v>144000</v>
      </c>
      <c r="N189" s="6">
        <v>56000</v>
      </c>
      <c r="O189" s="1" t="s">
        <v>24</v>
      </c>
      <c r="P189" t="str">
        <f t="shared" si="2"/>
        <v>Jun</v>
      </c>
    </row>
    <row r="190" spans="1:16">
      <c r="A190" s="3" t="s">
        <v>91</v>
      </c>
      <c r="B190" s="1" t="s">
        <v>422</v>
      </c>
      <c r="C190" s="1" t="s">
        <v>373</v>
      </c>
      <c r="D190" s="1" t="s">
        <v>223</v>
      </c>
      <c r="E190" s="1" t="s">
        <v>44</v>
      </c>
      <c r="F190" s="1" t="s">
        <v>147</v>
      </c>
      <c r="G190" s="1" t="s">
        <v>38</v>
      </c>
      <c r="H190" s="1" t="s">
        <v>39</v>
      </c>
      <c r="I190" s="1">
        <v>9</v>
      </c>
      <c r="J190" s="6">
        <v>180000</v>
      </c>
      <c r="K190" s="6">
        <v>140000</v>
      </c>
      <c r="L190" s="6">
        <v>1620000</v>
      </c>
      <c r="M190" s="6">
        <v>1260000</v>
      </c>
      <c r="N190" s="6">
        <v>360000</v>
      </c>
      <c r="O190" s="1" t="s">
        <v>40</v>
      </c>
      <c r="P190" t="str">
        <f t="shared" si="2"/>
        <v>Mar</v>
      </c>
    </row>
    <row r="191" spans="1:16">
      <c r="A191" s="3">
        <v>46130</v>
      </c>
      <c r="B191" s="1" t="s">
        <v>423</v>
      </c>
      <c r="C191" s="1" t="s">
        <v>64</v>
      </c>
      <c r="D191" s="1" t="s">
        <v>140</v>
      </c>
      <c r="E191" s="1" t="s">
        <v>80</v>
      </c>
      <c r="F191" s="1" t="s">
        <v>37</v>
      </c>
      <c r="G191" s="1" t="s">
        <v>22</v>
      </c>
      <c r="H191" s="1" t="s">
        <v>23</v>
      </c>
      <c r="I191" s="1">
        <v>5</v>
      </c>
      <c r="J191" s="6">
        <v>18000</v>
      </c>
      <c r="K191" s="6">
        <v>12000</v>
      </c>
      <c r="L191" s="6">
        <v>90000</v>
      </c>
      <c r="M191" s="6">
        <v>60000</v>
      </c>
      <c r="N191" s="6">
        <v>30000</v>
      </c>
      <c r="O191" s="1" t="s">
        <v>48</v>
      </c>
      <c r="P191" t="str">
        <f t="shared" si="2"/>
        <v>Apr</v>
      </c>
    </row>
    <row r="192" spans="1:16">
      <c r="A192" s="3" t="s">
        <v>424</v>
      </c>
      <c r="B192" s="1" t="s">
        <v>425</v>
      </c>
      <c r="C192" s="1" t="s">
        <v>295</v>
      </c>
      <c r="D192" s="1" t="s">
        <v>134</v>
      </c>
      <c r="E192" s="1" t="s">
        <v>44</v>
      </c>
      <c r="F192" s="1" t="s">
        <v>105</v>
      </c>
      <c r="G192" s="1" t="s">
        <v>38</v>
      </c>
      <c r="H192" s="1" t="s">
        <v>39</v>
      </c>
      <c r="I192" s="1">
        <v>9</v>
      </c>
      <c r="J192" s="6">
        <v>180000</v>
      </c>
      <c r="K192" s="6">
        <v>140000</v>
      </c>
      <c r="L192" s="6">
        <v>1620000</v>
      </c>
      <c r="M192" s="6">
        <v>1260000</v>
      </c>
      <c r="N192" s="6">
        <v>360000</v>
      </c>
      <c r="O192" s="1" t="s">
        <v>40</v>
      </c>
      <c r="P192" t="str">
        <f t="shared" si="2"/>
        <v>Aug</v>
      </c>
    </row>
    <row r="193" spans="1:16">
      <c r="A193" s="3">
        <v>46095</v>
      </c>
      <c r="B193" s="1" t="s">
        <v>426</v>
      </c>
      <c r="C193" s="1" t="s">
        <v>380</v>
      </c>
      <c r="D193" s="1" t="s">
        <v>427</v>
      </c>
      <c r="E193" s="1" t="s">
        <v>36</v>
      </c>
      <c r="F193" s="1" t="s">
        <v>114</v>
      </c>
      <c r="G193" s="1" t="s">
        <v>75</v>
      </c>
      <c r="H193" s="1" t="s">
        <v>39</v>
      </c>
      <c r="I193" s="1">
        <v>10</v>
      </c>
      <c r="J193" s="6">
        <v>320000</v>
      </c>
      <c r="K193" s="6">
        <v>250000</v>
      </c>
      <c r="L193" s="6">
        <v>3200000</v>
      </c>
      <c r="M193" s="6">
        <v>2500000</v>
      </c>
      <c r="N193" s="6">
        <v>700000</v>
      </c>
      <c r="O193" s="1" t="s">
        <v>24</v>
      </c>
      <c r="P193" t="str">
        <f t="shared" si="2"/>
        <v>Mar</v>
      </c>
    </row>
    <row r="194" spans="1:16">
      <c r="A194" s="3" t="s">
        <v>428</v>
      </c>
      <c r="B194" s="1" t="s">
        <v>429</v>
      </c>
      <c r="C194" s="1" t="s">
        <v>217</v>
      </c>
      <c r="D194" s="1" t="s">
        <v>73</v>
      </c>
      <c r="E194" s="1" t="s">
        <v>44</v>
      </c>
      <c r="F194" s="1" t="s">
        <v>54</v>
      </c>
      <c r="G194" s="1" t="s">
        <v>22</v>
      </c>
      <c r="H194" s="1" t="s">
        <v>23</v>
      </c>
      <c r="I194" s="1">
        <v>7</v>
      </c>
      <c r="J194" s="6">
        <v>18000</v>
      </c>
      <c r="K194" s="6">
        <v>12000</v>
      </c>
      <c r="L194" s="6">
        <v>126000</v>
      </c>
      <c r="M194" s="6">
        <v>84000</v>
      </c>
      <c r="N194" s="6">
        <v>42000</v>
      </c>
      <c r="O194" s="1" t="s">
        <v>40</v>
      </c>
      <c r="P194" t="str">
        <f t="shared" si="2"/>
        <v>Apr</v>
      </c>
    </row>
    <row r="195" spans="1:16">
      <c r="A195" s="3" t="s">
        <v>25</v>
      </c>
      <c r="B195" s="1" t="s">
        <v>430</v>
      </c>
      <c r="C195" s="1" t="s">
        <v>34</v>
      </c>
      <c r="D195" s="1" t="s">
        <v>314</v>
      </c>
      <c r="E195" s="1" t="s">
        <v>121</v>
      </c>
      <c r="F195" s="1" t="s">
        <v>147</v>
      </c>
      <c r="G195" s="1" t="s">
        <v>38</v>
      </c>
      <c r="H195" s="1" t="s">
        <v>39</v>
      </c>
      <c r="I195" s="1">
        <v>9</v>
      </c>
      <c r="J195" s="6">
        <v>180000</v>
      </c>
      <c r="K195" s="6">
        <v>140000</v>
      </c>
      <c r="L195" s="6">
        <v>1620000</v>
      </c>
      <c r="M195" s="6">
        <v>1260000</v>
      </c>
      <c r="N195" s="6">
        <v>360000</v>
      </c>
      <c r="O195" s="1" t="s">
        <v>24</v>
      </c>
      <c r="P195" t="str">
        <f t="shared" ref="P195:P201" si="3">TEXT(A195, "mmm")</f>
        <v>Oct</v>
      </c>
    </row>
    <row r="196" spans="1:16">
      <c r="A196" s="3">
        <v>46165</v>
      </c>
      <c r="B196" s="1" t="s">
        <v>431</v>
      </c>
      <c r="C196" s="1" t="s">
        <v>27</v>
      </c>
      <c r="D196" s="1" t="s">
        <v>432</v>
      </c>
      <c r="E196" s="1" t="s">
        <v>44</v>
      </c>
      <c r="F196" s="1" t="s">
        <v>69</v>
      </c>
      <c r="G196" s="1" t="s">
        <v>70</v>
      </c>
      <c r="H196" s="1" t="s">
        <v>23</v>
      </c>
      <c r="I196" s="1">
        <v>6</v>
      </c>
      <c r="J196" s="6">
        <v>55000</v>
      </c>
      <c r="K196" s="6">
        <v>42000</v>
      </c>
      <c r="L196" s="6">
        <v>330000</v>
      </c>
      <c r="M196" s="6">
        <v>252000</v>
      </c>
      <c r="N196" s="6">
        <v>78000</v>
      </c>
      <c r="O196" s="1" t="s">
        <v>48</v>
      </c>
      <c r="P196" t="str">
        <f t="shared" si="3"/>
        <v>May</v>
      </c>
    </row>
    <row r="197" spans="1:16">
      <c r="A197" s="3" t="s">
        <v>96</v>
      </c>
      <c r="B197" s="1" t="s">
        <v>433</v>
      </c>
      <c r="C197" s="1" t="s">
        <v>189</v>
      </c>
      <c r="D197" s="1" t="s">
        <v>392</v>
      </c>
      <c r="E197" s="1" t="s">
        <v>44</v>
      </c>
      <c r="F197" s="1" t="s">
        <v>81</v>
      </c>
      <c r="G197" s="1" t="s">
        <v>22</v>
      </c>
      <c r="H197" s="1" t="s">
        <v>23</v>
      </c>
      <c r="I197" s="1">
        <v>1</v>
      </c>
      <c r="J197" s="6">
        <v>18000</v>
      </c>
      <c r="K197" s="6">
        <v>12000</v>
      </c>
      <c r="L197" s="6">
        <v>18000</v>
      </c>
      <c r="M197" s="6">
        <v>12000</v>
      </c>
      <c r="N197" s="6">
        <v>6000</v>
      </c>
      <c r="O197" s="1" t="s">
        <v>48</v>
      </c>
      <c r="P197" t="str">
        <f t="shared" si="3"/>
        <v>Feb</v>
      </c>
    </row>
    <row r="198" spans="1:16">
      <c r="A198" s="3">
        <v>46099</v>
      </c>
      <c r="B198" s="1" t="s">
        <v>434</v>
      </c>
      <c r="C198" s="1" t="s">
        <v>189</v>
      </c>
      <c r="D198" s="1" t="s">
        <v>43</v>
      </c>
      <c r="E198" s="1" t="s">
        <v>53</v>
      </c>
      <c r="F198" s="1" t="s">
        <v>95</v>
      </c>
      <c r="G198" s="1" t="s">
        <v>46</v>
      </c>
      <c r="H198" s="1" t="s">
        <v>47</v>
      </c>
      <c r="I198" s="1">
        <v>7</v>
      </c>
      <c r="J198" s="6">
        <v>65000</v>
      </c>
      <c r="K198" s="6">
        <v>50000</v>
      </c>
      <c r="L198" s="6">
        <v>455000</v>
      </c>
      <c r="M198" s="6">
        <v>350000</v>
      </c>
      <c r="N198" s="6">
        <v>105000</v>
      </c>
      <c r="O198" s="1" t="s">
        <v>24</v>
      </c>
      <c r="P198" t="str">
        <f t="shared" si="3"/>
        <v>Mar</v>
      </c>
    </row>
    <row r="199" spans="1:16">
      <c r="A199" s="3">
        <v>46195</v>
      </c>
      <c r="B199" s="1" t="s">
        <v>435</v>
      </c>
      <c r="C199" s="1" t="s">
        <v>220</v>
      </c>
      <c r="D199" s="1" t="s">
        <v>167</v>
      </c>
      <c r="E199" s="1" t="s">
        <v>210</v>
      </c>
      <c r="F199" s="1" t="s">
        <v>100</v>
      </c>
      <c r="G199" s="1" t="s">
        <v>131</v>
      </c>
      <c r="H199" s="1" t="s">
        <v>47</v>
      </c>
      <c r="I199" s="1">
        <v>14</v>
      </c>
      <c r="J199" s="6">
        <v>45000</v>
      </c>
      <c r="K199" s="6">
        <v>32000</v>
      </c>
      <c r="L199" s="6">
        <v>630000</v>
      </c>
      <c r="M199" s="6">
        <v>448000</v>
      </c>
      <c r="N199" s="6">
        <v>182000</v>
      </c>
      <c r="O199" s="1" t="s">
        <v>40</v>
      </c>
      <c r="P199" t="str">
        <f t="shared" si="3"/>
        <v>Jun</v>
      </c>
    </row>
    <row r="200" spans="1:16">
      <c r="A200" s="3">
        <v>46167</v>
      </c>
      <c r="B200" s="1" t="s">
        <v>436</v>
      </c>
      <c r="C200" s="1" t="s">
        <v>133</v>
      </c>
      <c r="D200" s="1" t="s">
        <v>289</v>
      </c>
      <c r="E200" s="1" t="s">
        <v>80</v>
      </c>
      <c r="F200" s="1" t="s">
        <v>135</v>
      </c>
      <c r="G200" s="1" t="s">
        <v>175</v>
      </c>
      <c r="H200" s="1" t="s">
        <v>31</v>
      </c>
      <c r="I200" s="1">
        <v>11</v>
      </c>
      <c r="J200" s="6">
        <v>25000</v>
      </c>
      <c r="K200" s="6">
        <v>18000</v>
      </c>
      <c r="L200" s="6">
        <v>275000</v>
      </c>
      <c r="M200" s="6">
        <v>198000</v>
      </c>
      <c r="N200" s="6">
        <v>77000</v>
      </c>
      <c r="O200" s="1" t="s">
        <v>48</v>
      </c>
      <c r="P200" t="str">
        <f t="shared" si="3"/>
        <v>May</v>
      </c>
    </row>
    <row r="201" spans="1:16">
      <c r="A201" s="3">
        <v>46169</v>
      </c>
      <c r="B201" s="1" t="s">
        <v>437</v>
      </c>
      <c r="C201" s="1" t="s">
        <v>51</v>
      </c>
      <c r="D201" s="1" t="s">
        <v>438</v>
      </c>
      <c r="E201" s="1" t="s">
        <v>36</v>
      </c>
      <c r="F201" s="1" t="s">
        <v>105</v>
      </c>
      <c r="G201" s="1" t="s">
        <v>30</v>
      </c>
      <c r="H201" s="1" t="s">
        <v>31</v>
      </c>
      <c r="I201" s="1">
        <v>14</v>
      </c>
      <c r="J201" s="6">
        <v>12000</v>
      </c>
      <c r="K201" s="6">
        <v>7000</v>
      </c>
      <c r="L201" s="6">
        <v>168000</v>
      </c>
      <c r="M201" s="6">
        <v>98000</v>
      </c>
      <c r="N201" s="6">
        <v>70000</v>
      </c>
      <c r="O201" s="1" t="s">
        <v>48</v>
      </c>
      <c r="P201" t="str">
        <f t="shared" si="3"/>
        <v>May</v>
      </c>
    </row>
  </sheetData>
  <conditionalFormatting sqref="A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A1BA4-98CF-4945-9BF8-47028ECDAC23}">
  <dimension ref="A2:M7"/>
  <sheetViews>
    <sheetView showGridLines="0" tabSelected="1" workbookViewId="0">
      <selection activeCell="M17" sqref="M17"/>
    </sheetView>
  </sheetViews>
  <sheetFormatPr defaultRowHeight="15"/>
  <cols>
    <col min="1" max="1" width="11.5703125" style="10" bestFit="1" customWidth="1"/>
    <col min="2" max="3" width="9.140625" style="10"/>
    <col min="4" max="4" width="15.5703125" style="10" bestFit="1" customWidth="1"/>
    <col min="9" max="9" width="1.7109375" customWidth="1"/>
    <col min="13" max="13" width="35.28515625" customWidth="1"/>
  </cols>
  <sheetData>
    <row r="2" spans="10:13">
      <c r="J2" s="11" t="s">
        <v>439</v>
      </c>
      <c r="K2" s="11"/>
      <c r="L2" s="11"/>
      <c r="M2" s="11" t="s">
        <v>440</v>
      </c>
    </row>
    <row r="3" spans="10:13">
      <c r="J3" s="11" t="s">
        <v>441</v>
      </c>
      <c r="K3" s="11"/>
      <c r="L3" s="11"/>
      <c r="M3" s="12">
        <v>109166000</v>
      </c>
    </row>
    <row r="4" spans="10:13">
      <c r="J4" s="11" t="s">
        <v>442</v>
      </c>
      <c r="K4" s="11"/>
      <c r="L4" s="11"/>
      <c r="M4" s="12">
        <v>26651500</v>
      </c>
    </row>
    <row r="5" spans="10:13">
      <c r="J5" s="11" t="s">
        <v>443</v>
      </c>
      <c r="K5" s="11"/>
      <c r="L5" s="11"/>
      <c r="M5" s="11" t="s">
        <v>44</v>
      </c>
    </row>
    <row r="6" spans="10:13">
      <c r="J6" s="11" t="s">
        <v>444</v>
      </c>
      <c r="K6" s="11"/>
      <c r="L6" s="11"/>
      <c r="M6" s="11" t="s">
        <v>75</v>
      </c>
    </row>
    <row r="7" spans="10:13">
      <c r="J7" s="11" t="s">
        <v>445</v>
      </c>
      <c r="K7" s="11"/>
      <c r="L7" s="11"/>
      <c r="M7" s="11" t="s">
        <v>446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3381D-4655-4C63-886D-F74E7A9A727F}">
  <dimension ref="A3:J33"/>
  <sheetViews>
    <sheetView workbookViewId="0">
      <selection activeCell="O38" sqref="O38"/>
    </sheetView>
  </sheetViews>
  <sheetFormatPr defaultRowHeight="15"/>
  <cols>
    <col min="1" max="1" width="17.140625" bestFit="1" customWidth="1"/>
    <col min="2" max="2" width="12.5703125" customWidth="1"/>
    <col min="3" max="3" width="17.5703125" bestFit="1" customWidth="1"/>
    <col min="4" max="4" width="22.7109375" bestFit="1" customWidth="1"/>
    <col min="5" max="5" width="17.5703125" customWidth="1"/>
    <col min="7" max="7" width="11.42578125" bestFit="1" customWidth="1"/>
    <col min="8" max="8" width="12.5703125" customWidth="1"/>
    <col min="9" max="9" width="17.5703125" customWidth="1"/>
    <col min="14" max="14" width="11.42578125" bestFit="1" customWidth="1"/>
    <col min="15" max="15" width="12.5703125" customWidth="1"/>
    <col min="16" max="16" width="17.5703125" bestFit="1" customWidth="1"/>
  </cols>
  <sheetData>
    <row r="3" spans="1:10">
      <c r="A3" s="7" t="s">
        <v>4</v>
      </c>
      <c r="B3" t="s">
        <v>447</v>
      </c>
      <c r="C3" t="s">
        <v>448</v>
      </c>
      <c r="G3" s="7" t="s">
        <v>7</v>
      </c>
      <c r="H3" t="s">
        <v>447</v>
      </c>
      <c r="I3" t="s">
        <v>448</v>
      </c>
    </row>
    <row r="4" spans="1:10">
      <c r="A4" t="s">
        <v>44</v>
      </c>
      <c r="B4" s="8">
        <v>24150000</v>
      </c>
      <c r="C4" s="8">
        <v>5922000</v>
      </c>
      <c r="D4" s="9" cm="1">
        <f t="array" ref="D4:D9">C4:C9/B4:B9</f>
        <v>0.24521739130434783</v>
      </c>
      <c r="G4" t="s">
        <v>23</v>
      </c>
      <c r="H4" s="8">
        <v>15412000</v>
      </c>
      <c r="I4" s="8">
        <v>3966000</v>
      </c>
      <c r="J4" s="9" cm="1">
        <f t="array" ref="J4:J7">I4:I7/H4:H7</f>
        <v>0.25733194913054763</v>
      </c>
    </row>
    <row r="5" spans="1:10">
      <c r="A5" t="s">
        <v>20</v>
      </c>
      <c r="B5" s="8">
        <v>21090000</v>
      </c>
      <c r="C5" s="8">
        <v>4983500</v>
      </c>
      <c r="D5" s="9">
        <v>0.23629682313892841</v>
      </c>
      <c r="G5" t="s">
        <v>39</v>
      </c>
      <c r="H5" s="8">
        <v>65030000</v>
      </c>
      <c r="I5" s="8">
        <v>14930000</v>
      </c>
      <c r="J5" s="9">
        <v>0.22958634476395509</v>
      </c>
    </row>
    <row r="6" spans="1:10">
      <c r="A6" t="s">
        <v>121</v>
      </c>
      <c r="B6" s="8">
        <v>19580000</v>
      </c>
      <c r="C6" s="8">
        <v>4642500</v>
      </c>
      <c r="D6" s="9">
        <v>0.23710418794688456</v>
      </c>
      <c r="G6" t="s">
        <v>47</v>
      </c>
      <c r="H6" s="8">
        <v>24324000</v>
      </c>
      <c r="I6" s="8">
        <v>6216000</v>
      </c>
      <c r="J6" s="9">
        <v>0.25555007400098667</v>
      </c>
    </row>
    <row r="7" spans="1:10">
      <c r="A7" t="s">
        <v>36</v>
      </c>
      <c r="B7" s="8">
        <v>15822000</v>
      </c>
      <c r="C7" s="8">
        <v>3877500</v>
      </c>
      <c r="D7" s="9">
        <v>0.24507015547971178</v>
      </c>
      <c r="G7" t="s">
        <v>31</v>
      </c>
      <c r="H7" s="8">
        <v>4400000</v>
      </c>
      <c r="I7" s="8">
        <v>1539500</v>
      </c>
      <c r="J7" s="9">
        <v>0.34988636363636366</v>
      </c>
    </row>
    <row r="8" spans="1:10">
      <c r="A8" t="s">
        <v>53</v>
      </c>
      <c r="B8" s="8">
        <v>14863000</v>
      </c>
      <c r="C8" s="8">
        <v>3783000</v>
      </c>
      <c r="D8" s="9">
        <v>0.25452465854807238</v>
      </c>
      <c r="G8" t="s">
        <v>449</v>
      </c>
      <c r="H8" s="8">
        <v>109166000</v>
      </c>
      <c r="I8" s="8">
        <v>26651500</v>
      </c>
      <c r="J8" s="9">
        <f>MAX(J4:J7)</f>
        <v>0.34988636363636366</v>
      </c>
    </row>
    <row r="9" spans="1:10">
      <c r="A9" t="s">
        <v>80</v>
      </c>
      <c r="B9" s="8">
        <v>13661000</v>
      </c>
      <c r="C9" s="8">
        <v>3443000</v>
      </c>
      <c r="D9" s="9">
        <v>0.25203133006368494</v>
      </c>
      <c r="J9" t="str">
        <f>_xlfn.XLOOKUP(J8, J4:J7, G4:G7)</f>
        <v>Office Supplies</v>
      </c>
    </row>
    <row r="10" spans="1:10">
      <c r="A10" t="s">
        <v>449</v>
      </c>
      <c r="B10" s="8">
        <v>109166000</v>
      </c>
      <c r="C10" s="8">
        <v>26651500</v>
      </c>
      <c r="D10" s="9">
        <f>MAX(D4:D9)</f>
        <v>0.25452465854807238</v>
      </c>
    </row>
    <row r="11" spans="1:10">
      <c r="D11" t="str">
        <f>_xlfn.XLOOKUP(D10, D4:D9, A4:A9)</f>
        <v>Ibadan</v>
      </c>
    </row>
    <row r="19" spans="1:10">
      <c r="A19" s="7" t="s">
        <v>6</v>
      </c>
      <c r="B19" t="s">
        <v>448</v>
      </c>
      <c r="C19" t="s">
        <v>447</v>
      </c>
      <c r="G19" s="7" t="s">
        <v>15</v>
      </c>
      <c r="H19" t="s">
        <v>448</v>
      </c>
      <c r="I19" t="s">
        <v>447</v>
      </c>
    </row>
    <row r="20" spans="1:10">
      <c r="A20" t="s">
        <v>131</v>
      </c>
      <c r="B20" s="8">
        <v>2600000</v>
      </c>
      <c r="C20" s="8">
        <v>9000000</v>
      </c>
      <c r="D20" s="9" cm="1">
        <f t="array" ref="D20:D31">C20:C31/B20:B31</f>
        <v>3.4615384615384617</v>
      </c>
      <c r="G20" t="s">
        <v>450</v>
      </c>
      <c r="H20" s="8">
        <v>1048000</v>
      </c>
      <c r="I20" s="8">
        <v>3891000</v>
      </c>
      <c r="J20" s="9" cm="1">
        <f t="array" ref="J20:J31">I20:I31/H20:H31</f>
        <v>3.7127862595419847</v>
      </c>
    </row>
    <row r="21" spans="1:10">
      <c r="A21" t="s">
        <v>22</v>
      </c>
      <c r="B21" s="8">
        <v>636000</v>
      </c>
      <c r="C21" s="8">
        <v>1908000</v>
      </c>
      <c r="D21" s="9">
        <v>3</v>
      </c>
      <c r="G21" t="s">
        <v>451</v>
      </c>
      <c r="H21" s="8">
        <v>2853500</v>
      </c>
      <c r="I21" s="8">
        <v>11752000</v>
      </c>
      <c r="J21" s="9">
        <v>4.1184510250569479</v>
      </c>
    </row>
    <row r="22" spans="1:10">
      <c r="A22" t="s">
        <v>70</v>
      </c>
      <c r="B22" s="8">
        <v>2808000</v>
      </c>
      <c r="C22" s="8">
        <v>11880000</v>
      </c>
      <c r="D22" s="9">
        <v>4.2307692307692308</v>
      </c>
      <c r="G22" t="s">
        <v>452</v>
      </c>
      <c r="H22" s="8">
        <v>3075500</v>
      </c>
      <c r="I22" s="8">
        <v>12827000</v>
      </c>
      <c r="J22" s="9">
        <v>4.1707039505771419</v>
      </c>
    </row>
    <row r="23" spans="1:10">
      <c r="A23" t="s">
        <v>151</v>
      </c>
      <c r="B23" s="8">
        <v>1036000</v>
      </c>
      <c r="C23" s="8">
        <v>4144000</v>
      </c>
      <c r="D23" s="9">
        <v>4</v>
      </c>
      <c r="G23" t="s">
        <v>453</v>
      </c>
      <c r="H23" s="8">
        <v>1363000</v>
      </c>
      <c r="I23" s="8">
        <v>4961000</v>
      </c>
      <c r="J23" s="9">
        <v>3.6397652237710933</v>
      </c>
    </row>
    <row r="24" spans="1:10">
      <c r="A24" t="s">
        <v>101</v>
      </c>
      <c r="B24" s="8">
        <v>522000</v>
      </c>
      <c r="C24" s="8">
        <v>1624000</v>
      </c>
      <c r="D24" s="9">
        <v>3.1111111111111112</v>
      </c>
      <c r="G24" t="s">
        <v>454</v>
      </c>
      <c r="H24" s="8">
        <v>2070000</v>
      </c>
      <c r="I24" s="8">
        <v>8549000</v>
      </c>
      <c r="J24" s="9">
        <v>4.1299516908212563</v>
      </c>
    </row>
    <row r="25" spans="1:10">
      <c r="A25" t="s">
        <v>118</v>
      </c>
      <c r="B25" s="8">
        <v>1380000</v>
      </c>
      <c r="C25" s="8">
        <v>3450000</v>
      </c>
      <c r="D25" s="9">
        <v>2.5</v>
      </c>
      <c r="G25" t="s">
        <v>455</v>
      </c>
      <c r="H25" s="8">
        <v>1814500</v>
      </c>
      <c r="I25" s="8">
        <v>7316000</v>
      </c>
      <c r="J25" s="9">
        <v>4.0319647285753648</v>
      </c>
    </row>
    <row r="26" spans="1:10">
      <c r="A26" t="s">
        <v>175</v>
      </c>
      <c r="B26" s="8">
        <v>602000</v>
      </c>
      <c r="C26" s="8">
        <v>2150000</v>
      </c>
      <c r="D26" s="9">
        <v>3.5714285714285716</v>
      </c>
      <c r="G26" t="s">
        <v>456</v>
      </c>
      <c r="H26" s="8">
        <v>1814500</v>
      </c>
      <c r="I26" s="8">
        <v>7587000</v>
      </c>
      <c r="J26" s="9">
        <v>4.1813171672637086</v>
      </c>
    </row>
    <row r="27" spans="1:10">
      <c r="A27" t="s">
        <v>75</v>
      </c>
      <c r="B27" s="8">
        <v>8470000</v>
      </c>
      <c r="C27" s="8">
        <v>38720000</v>
      </c>
      <c r="D27" s="9">
        <v>4.5714285714285712</v>
      </c>
      <c r="G27" t="s">
        <v>457</v>
      </c>
      <c r="H27" s="8">
        <v>2768500</v>
      </c>
      <c r="I27" s="8">
        <v>11182000</v>
      </c>
      <c r="J27" s="9">
        <v>4.0390102943832398</v>
      </c>
    </row>
    <row r="28" spans="1:10">
      <c r="A28" t="s">
        <v>38</v>
      </c>
      <c r="B28" s="8">
        <v>5080000</v>
      </c>
      <c r="C28" s="8">
        <v>22860000</v>
      </c>
      <c r="D28" s="9">
        <v>4.5</v>
      </c>
      <c r="G28" t="s">
        <v>458</v>
      </c>
      <c r="H28" s="8">
        <v>3181500</v>
      </c>
      <c r="I28" s="8">
        <v>12879000</v>
      </c>
      <c r="J28" s="9">
        <v>4.0480905233380478</v>
      </c>
    </row>
    <row r="29" spans="1:10">
      <c r="A29" t="s">
        <v>30</v>
      </c>
      <c r="B29" s="8">
        <v>680000</v>
      </c>
      <c r="C29" s="8">
        <v>1632000</v>
      </c>
      <c r="D29" s="9">
        <v>2.4</v>
      </c>
      <c r="G29" t="s">
        <v>459</v>
      </c>
      <c r="H29" s="8">
        <v>2519500</v>
      </c>
      <c r="I29" s="8">
        <v>11108000</v>
      </c>
      <c r="J29" s="9">
        <v>4.4088112720777932</v>
      </c>
    </row>
    <row r="30" spans="1:10">
      <c r="A30" t="s">
        <v>46</v>
      </c>
      <c r="B30" s="8">
        <v>2580000</v>
      </c>
      <c r="C30" s="8">
        <v>11180000</v>
      </c>
      <c r="D30" s="9">
        <v>4.333333333333333</v>
      </c>
      <c r="G30" t="s">
        <v>460</v>
      </c>
      <c r="H30" s="8">
        <v>894500</v>
      </c>
      <c r="I30" s="8">
        <v>3704000</v>
      </c>
      <c r="J30" s="9">
        <v>4.1408608160983791</v>
      </c>
    </row>
    <row r="31" spans="1:10">
      <c r="A31" t="s">
        <v>82</v>
      </c>
      <c r="B31" s="8">
        <v>257500</v>
      </c>
      <c r="C31" s="8">
        <v>618000</v>
      </c>
      <c r="D31" s="9">
        <v>2.4</v>
      </c>
      <c r="G31" t="s">
        <v>461</v>
      </c>
      <c r="H31" s="8">
        <v>3248500</v>
      </c>
      <c r="I31" s="8">
        <v>13410000</v>
      </c>
      <c r="J31" s="9">
        <v>4.128059104201939</v>
      </c>
    </row>
    <row r="32" spans="1:10">
      <c r="A32" t="s">
        <v>449</v>
      </c>
      <c r="B32" s="8">
        <v>26651500</v>
      </c>
      <c r="C32" s="8">
        <v>109166000</v>
      </c>
      <c r="D32" s="9">
        <f>MAX(D20:D31)</f>
        <v>4.5714285714285712</v>
      </c>
      <c r="G32" t="s">
        <v>449</v>
      </c>
      <c r="H32" s="8">
        <v>26651500</v>
      </c>
      <c r="I32" s="8">
        <v>109166000</v>
      </c>
      <c r="J32" s="9">
        <f>MAX(J20:J31)</f>
        <v>4.4088112720777932</v>
      </c>
    </row>
    <row r="33" spans="4:10">
      <c r="D33" t="str">
        <f>_xlfn.XLOOKUP(D32, D20:D31, A20:A31)</f>
        <v>Laptop</v>
      </c>
      <c r="J33" t="str">
        <f>_xlfn.XLOOKUP(J32, J20:J31, G20:G31)</f>
        <v>Oct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2026-05-22T17:54:06Z</dcterms:created>
  <dcterms:modified xsi:type="dcterms:W3CDTF">2026-05-22T23:02:25Z</dcterms:modified>
  <cp:category/>
  <cp:contentStatus/>
</cp:coreProperties>
</file>